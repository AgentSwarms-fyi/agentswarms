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charts/chart3.xml" ContentType="application/vnd.openxmlformats-officedocument.drawingml.chart+xml"/>
  <Override PartName="/xl/drawings/drawing2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Tasks" state="visible" r:id="rId5"/>
    <sheet sheetId="3" name="Team" state="visible" r:id="rId6"/>
  </sheets>
  <calcPr calcId="171027" fullCalcOnLoad="1"/>
</workbook>
</file>

<file path=xl/sharedStrings.xml><?xml version="1.0" encoding="utf-8"?>
<sst xmlns="http://schemas.openxmlformats.org/spreadsheetml/2006/main" count="105" uniqueCount="65">
  <si>
    <t>Project tracker</t>
  </si>
  <si>
    <t>Status counts and hours come from the Tasks sheet; the red rows there are late.</t>
  </si>
  <si>
    <t>Status</t>
  </si>
  <si>
    <t>Tasks</t>
  </si>
  <si>
    <t>Hours left</t>
  </si>
  <si>
    <t>Owner</t>
  </si>
  <si>
    <t>Remaining (h)</t>
  </si>
  <si>
    <t>Not started</t>
  </si>
  <si>
    <t>Maya</t>
  </si>
  <si>
    <t>In progress</t>
  </si>
  <si>
    <t>Omar</t>
  </si>
  <si>
    <t>Blocked</t>
  </si>
  <si>
    <t>Priya</t>
  </si>
  <si>
    <t>Done</t>
  </si>
  <si>
    <t>Lucas</t>
  </si>
  <si>
    <t>Ines</t>
  </si>
  <si>
    <t>Total</t>
  </si>
  <si>
    <t>Complete</t>
  </si>
  <si>
    <t>Late tasks</t>
  </si>
  <si>
    <t>Next due</t>
  </si>
  <si>
    <t>ID</t>
  </si>
  <si>
    <t>Task</t>
  </si>
  <si>
    <t>Start</t>
  </si>
  <si>
    <t>Due</t>
  </si>
  <si>
    <t>Estimate (h)</t>
  </si>
  <si>
    <t>Days left</t>
  </si>
  <si>
    <t>Late</t>
  </si>
  <si>
    <t>T-01</t>
  </si>
  <si>
    <t>Kick-off and scope</t>
  </si>
  <si>
    <t>T-02</t>
  </si>
  <si>
    <t>User research</t>
  </si>
  <si>
    <t>T-03</t>
  </si>
  <si>
    <t>Wireframes</t>
  </si>
  <si>
    <t>T-04</t>
  </si>
  <si>
    <t>API design</t>
  </si>
  <si>
    <t>T-05</t>
  </si>
  <si>
    <t>Data model</t>
  </si>
  <si>
    <t>T-06</t>
  </si>
  <si>
    <t>Auth and roles</t>
  </si>
  <si>
    <t>T-07</t>
  </si>
  <si>
    <t>Visual design</t>
  </si>
  <si>
    <t>T-08</t>
  </si>
  <si>
    <t>Import pipeline</t>
  </si>
  <si>
    <t>T-09</t>
  </si>
  <si>
    <t>Reporting screens</t>
  </si>
  <si>
    <t>T-10</t>
  </si>
  <si>
    <t>Test plan</t>
  </si>
  <si>
    <t>T-11</t>
  </si>
  <si>
    <t>Regression suite</t>
  </si>
  <si>
    <t>T-12</t>
  </si>
  <si>
    <t>Performance pass</t>
  </si>
  <si>
    <t>T-13</t>
  </si>
  <si>
    <t>Beta release</t>
  </si>
  <si>
    <t>T-14</t>
  </si>
  <si>
    <t>Docs and help</t>
  </si>
  <si>
    <t>Name</t>
  </si>
  <si>
    <t>Role</t>
  </si>
  <si>
    <t>Hours a week</t>
  </si>
  <si>
    <t>Open tasks</t>
  </si>
  <si>
    <t>Open hours</t>
  </si>
  <si>
    <t>Load</t>
  </si>
  <si>
    <t>Design</t>
  </si>
  <si>
    <t>Engineering</t>
  </si>
  <si>
    <t>QA</t>
  </si>
  <si>
    <t>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</si>
</sst>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yyyy-mm-dd"/>
  </numFmts>
  <fonts count="6" x14ac:knownFonts="1">
    <font>
      <color theme="1"/>
      <family val="2"/>
      <scheme val="minor"/>
      <sz val="11"/>
      <name val="Calibri"/>
    </font>
    <font>
      <b/>
      <color rgb="FF1F4E78"/>
      <sz val="16"/>
      <name val="Calibri"/>
    </font>
    <font>
      <i/>
      <color rgb="FF595959"/>
      <sz val="11"/>
      <name val="Calibri"/>
    </font>
    <font>
      <b/>
      <color rgb="FFFFFFFF"/>
      <sz val="11"/>
      <name val="Calibri"/>
    </font>
    <font>
      <b/>
      <sz val="11"/>
      <name val="Calibri"/>
    </font>
    <font>
      <b/>
      <sz val="14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164" fontId="0" fillId="0" borderId="0" xfId="0" applyNumberFormat="1"/>
    <xf numFmtId="0" fontId="4" fillId="0" borderId="0" xfId="0" applyFont="1"/>
    <xf numFmtId="164" fontId="4" fillId="0" borderId="0" xfId="0" applyNumberFormat="1" applyFont="1"/>
    <xf numFmtId="9" fontId="5" fillId="0" borderId="0" xfId="0" applyNumberFormat="1" applyFont="1"/>
    <xf numFmtId="0" fontId="5" fillId="0" borderId="0" xfId="0" applyFont="1"/>
    <xf numFmtId="165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4">
    <dxf>
      <font>
        <color rgb="FF9C0006"/>
      </font>
      <fill>
        <patternFill patternType="solid">
          <bgColor rgb="FFFFC7CE"/>
        </patternFill>
      </fill>
    </dxf>
    <dxf>
      <font>
        <b/>
        <color rgb="FF9C5700"/>
      </font>
      <fill>
        <patternFill patternType="solid">
          <bgColor rgb="FFFFEB9C"/>
        </patternFill>
      </fill>
    </dxf>
    <dxf>
      <font>
        <color rgb="FF006100"/>
      </font>
    </dxf>
    <dxf>
      <font>
        <b/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/>
          <a:p>
            <a:r>
              <a:t>Tasks by status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Summary!$B$4</c:f>
            </c:strRef>
          </c:tx>
          <c:dLbls>
            <c:showLegendKey val="0"/>
            <c:showVal val="0"/>
            <c:showCatName val="0"/>
            <c:showSerName val="0"/>
            <c:showPercent val="1"/>
            <c:showBubbleSize val="0"/>
          </c:dLbls>
          <c:cat>
            <c:strRef>
              <c:f>Summary!$A$5:$A$8</c:f>
            </c:strRef>
          </c:cat>
          <c:val>
            <c:numRef>
              <c:f>Summary!$B$5:$B$8</c:f>
            </c:numRef>
          </c:val>
        </c:ser>
        <c:firstSliceAng val="0"/>
      </c:pieChart>
    </c:plotArea>
    <c:legend>
      <c:legendPos val="r"/>
      <c:overlay val="0"/>
    </c:legend>
    <c:plotVisOnly val="1"/>
    <c:dispBlanksAs val="gap"/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/>
          <a:p>
            <a:r>
              <a:t>Remaining work by owner</a:t>
            </a:r>
          </a:p>
        </c:rich>
      </c:tx>
      <c:overlay val="0"/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Summary!$F$4</c:f>
            </c:strRef>
          </c:tx>
          <c:spPr>
            <a:ln w="28575" cap="rnd">
              <a:solidFill>
                <a:srgbClr val="4472C4"/>
              </a:solidFill>
              <a:round/>
            </a:ln>
          </c:spPr>
          <c:marker>
            <c:symbol val="none"/>
          </c:marker>
          <c:cat>
            <c:strRef>
              <c:f>Summary!$E$5:$E$9</c:f>
            </c:strRef>
          </c:cat>
          <c:val>
            <c:numRef>
              <c:f>Summary!$F$5:$F$9</c:f>
            </c:numRef>
          </c:val>
        </c:ser>
        <c:axId val="10"/>
        <c:axId val="20"/>
      </c:radarChart>
      <c:catAx>
        <c:axId val="10"/>
        <c:scaling>
          <c:orientation val="minMax"/>
        </c:scaling>
        <c:delete val="0"/>
        <c:axPos val="b"/>
        <c:numFmt formatCode="General" sourceLinked="1"/>
        <c:tickLblPos val="nextTo"/>
        <c:crossAx val="20"/>
        <c:crosses val="autoZero"/>
        <c:auto val="1"/>
        <c:lblAlgn val="ctr"/>
        <c:lblOffset val="100"/>
      </c:catAx>
      <c:valAx>
        <c:axId val="20"/>
        <c:scaling>
          <c:orientation val="minMax"/>
        </c:scaling>
        <c:delete val="0"/>
        <c:axPos val="l"/>
        <c:majorGridlines/>
        <c:numFmt formatCode="General" sourceLinked="1"/>
        <c:tickLblPos val="nextTo"/>
        <c:crossAx val="10"/>
        <c:crosses val="autoZero"/>
        <c:crossBetween val="between"/>
      </c:valAx>
    </c:plotArea>
    <c:plotVisOnly val="1"/>
    <c:dispBlanksAs val="gap"/>
  </c:char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/>
          <a:p>
            <a:r>
              <a:t>Open hours by person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Team!$I$1</c:f>
            </c:strRef>
          </c:tx>
          <c:spPr>
            <a:solidFill>
              <a:srgbClr val="4472C4"/>
            </a:solidFill>
          </c:spPr>
          <c:dLbls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Team!$H$2:$H$6</c:f>
            </c:strRef>
          </c:cat>
          <c:val>
            <c:numRef>
              <c:f>Team!$I$2:$I$6</c:f>
            </c:numRef>
          </c:val>
        </c:ser>
        <c:gapWidth val="150"/>
        <c:axId val="10"/>
        <c:axId val="20"/>
      </c:barChart>
      <c:catAx>
        <c:axId val="10"/>
        <c:scaling>
          <c:orientation val="maxMin"/>
        </c:scaling>
        <c:delete val="0"/>
        <c:axPos val="l"/>
        <c:numFmt formatCode="General" sourceLinked="1"/>
        <c:tickLblPos val="nextTo"/>
        <c:crossAx val="20"/>
        <c:crosses val="autoZero"/>
        <c:auto val="1"/>
        <c:lblAlgn val="ctr"/>
        <c:lblOffset val="100"/>
      </c:catAx>
      <c:valAx>
        <c:axId val="20"/>
        <c:scaling>
          <c:orientation val="minMax"/>
        </c:scaling>
        <c:delete val="0"/>
        <c:axPos val="b"/>
        <c:majorGridlines/>
        <c:numFmt formatCode="General" sourceLinked="1"/>
        <c:tickLblPos val="nextTo"/>
        <c:crossAx val="10"/>
        <c:crosses val="max"/>
        <c:crossBetween val="between"/>
      </c:valAx>
    </c:plotArea>
    <c:plotVisOnly val="1"/>
    <c:dispBlanksAs val="gap"/>
  </c:chart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190500</xdr:colOff>
      <xdr:row>0</xdr:row>
      <xdr:rowOff>0</xdr:rowOff>
    </xdr:from>
    <xdr:to>
      <xdr:col>10</xdr:col>
      <xdr:colOff>38100</xdr:colOff>
      <xdr:row>10</xdr:row>
      <xdr:rowOff>190500</xdr:rowOff>
    </xdr:to>
    <xdr:graphicFrame macro="">
      <xdr:nvGraphicFramePr>
        <xdr:cNvPr id="2" name="Tasks by statu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  <xdr:twoCellAnchor editAs="oneCell">
    <xdr:from>
      <xdr:col>6</xdr:col>
      <xdr:colOff>190500</xdr:colOff>
      <xdr:row>11</xdr:row>
      <xdr:rowOff>152400</xdr:rowOff>
    </xdr:from>
    <xdr:to>
      <xdr:col>10</xdr:col>
      <xdr:colOff>38100</xdr:colOff>
      <xdr:row>24</xdr:row>
      <xdr:rowOff>38100</xdr:rowOff>
    </xdr:to>
    <xdr:graphicFrame macro="">
      <xdr:nvGraphicFramePr>
        <xdr:cNvPr id="3" name="Remaining work by owner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190500</xdr:colOff>
      <xdr:row>7</xdr:row>
      <xdr:rowOff>114300</xdr:rowOff>
    </xdr:from>
    <xdr:to>
      <xdr:col>4</xdr:col>
      <xdr:colOff>476250</xdr:colOff>
      <xdr:row>18</xdr:row>
      <xdr:rowOff>76200</xdr:rowOff>
    </xdr:to>
    <xdr:graphicFrame macro="">
      <xdr:nvGraphicFramePr>
        <xdr:cNvPr id="2" name="Open hours by person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Drawing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Drawing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/>
  </sheetViews>
  <sheetFormatPr defaultRowHeight="18" outlineLevelRow="0" outlineLevelCol="0" x14ac:dyDescent="55" defaultColWidth="14.14" customHeight="1"/>
  <cols>
    <col min="1" max="1" width="17.86" customWidth="1"/>
    <col min="2" max="2" width="12.14" customWidth="1"/>
    <col min="3" max="3" width="15" customWidth="1"/>
    <col min="4" max="4" width="3.57" customWidth="1"/>
    <col min="5" max="5" width="17.86" customWidth="1"/>
    <col min="6" max="6" width="15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4" spans="1:6" x14ac:dyDescent="0.25">
      <c r="A4" s="3" t="s">
        <v>2</v>
      </c>
      <c r="B4" s="3" t="s">
        <v>3</v>
      </c>
      <c r="C4" s="3" t="s">
        <v>4</v>
      </c>
      <c r="E4" s="3" t="s">
        <v>5</v>
      </c>
      <c r="F4" s="3" t="s">
        <v>6</v>
      </c>
    </row>
    <row r="5" spans="1:6" x14ac:dyDescent="0.25">
      <c r="A5" t="s">
        <v>7</v>
      </c>
      <c r="B5">
        <f>COUNTIF(Tasks!$D:$D,A5)</f>
        <v>5</v>
      </c>
      <c r="C5" s="4">
        <f>SUMIFS(Tasks!$I:$I,Tasks!$D:$D,A5)</f>
        <v>120</v>
      </c>
      <c r="E5" t="s">
        <v>8</v>
      </c>
      <c r="F5" s="4">
        <f>SUMIFS(Tasks!$I:$I,Tasks!$C:$C,E5)</f>
        <v>35.2</v>
      </c>
    </row>
    <row r="6" spans="1:6" x14ac:dyDescent="0.25">
      <c r="A6" t="s">
        <v>9</v>
      </c>
      <c r="B6">
        <f>COUNTIF(Tasks!$D:$D,A6)</f>
        <v>4</v>
      </c>
      <c r="C6" s="4">
        <f>SUMIFS(Tasks!$I:$I,Tasks!$D:$D,A6)</f>
        <v>46.2</v>
      </c>
      <c r="E6" t="s">
        <v>10</v>
      </c>
      <c r="F6" s="4">
        <f>SUMIFS(Tasks!$I:$I,Tasks!$C:$C,E6)</f>
        <v>55</v>
      </c>
    </row>
    <row r="7" spans="1:6" x14ac:dyDescent="0.25">
      <c r="A7" t="s">
        <v>11</v>
      </c>
      <c r="B7">
        <f>COUNTIF(Tasks!$D:$D,A7)</f>
        <v>1</v>
      </c>
      <c r="C7" s="4">
        <f>SUMIFS(Tasks!$I:$I,Tasks!$D:$D,A7)</f>
        <v>22.400000000000002</v>
      </c>
      <c r="E7" t="s">
        <v>12</v>
      </c>
      <c r="F7" s="4">
        <f>SUMIFS(Tasks!$I:$I,Tasks!$C:$C,E7)</f>
        <v>49.6</v>
      </c>
    </row>
    <row r="8" spans="1:6" x14ac:dyDescent="0.25">
      <c r="A8" t="s">
        <v>13</v>
      </c>
      <c r="B8">
        <f>COUNTIF(Tasks!$D:$D,A8)</f>
        <v>4</v>
      </c>
      <c r="C8" s="4">
        <f>SUMIFS(Tasks!$I:$I,Tasks!$D:$D,A8)</f>
        <v>0</v>
      </c>
      <c r="E8" t="s">
        <v>14</v>
      </c>
      <c r="F8" s="4">
        <f>SUMIFS(Tasks!$I:$I,Tasks!$C:$C,E8)</f>
        <v>40.8</v>
      </c>
    </row>
    <row r="9" spans="5:6" x14ac:dyDescent="0.25">
      <c r="E9" t="s">
        <v>15</v>
      </c>
      <c r="F9" s="4">
        <f>SUMIFS(Tasks!$I:$I,Tasks!$C:$C,E9)</f>
        <v>8</v>
      </c>
    </row>
    <row r="10" spans="1:3" x14ac:dyDescent="0.25">
      <c r="A10" s="5" t="s">
        <v>16</v>
      </c>
      <c r="B10" s="5">
        <f>SUM(B5:B8)</f>
        <v>14</v>
      </c>
      <c r="C10" s="6">
        <f>SUM(C5:C8)</f>
        <v>188.6</v>
      </c>
    </row>
    <row r="12" spans="1:2" x14ac:dyDescent="0.25">
      <c r="A12" s="5" t="s">
        <v>17</v>
      </c>
      <c r="B12" s="7">
        <f>SUMPRODUCT(Tasks!G2:G15,Tasks!H2:H15)/SUM(Tasks!G2:G15)</f>
        <v>0.39936305732484073</v>
      </c>
    </row>
    <row r="13" spans="1:2" x14ac:dyDescent="0.25">
      <c r="A13" s="5" t="s">
        <v>18</v>
      </c>
      <c r="B13" s="8">
        <f>COUNTIF(Tasks!K2:K15,TRUE)</f>
        <v>2</v>
      </c>
    </row>
    <row r="14" spans="1:2" x14ac:dyDescent="0.25">
      <c r="A14" s="5" t="s">
        <v>19</v>
      </c>
      <c r="B14" t="str">
        <f>INDEX(Tasks!B2:B15,MATCH(_xlfn.MINIFS(Tasks!F2:F15,Tasks!D2:D15,"&lt;&gt;Done"),Tasks!F2:F15,0))</f>
        <v>Data model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Drawing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"/>
  <sheetViews>
    <sheetView workbookViewId="0">
      <pane xSplit="2" ySplit="1" topLeftCell="C2" activePane="bottomRight" state="frozen"/>
      <selection pane="bottomRight"/>
    </sheetView>
  </sheetViews>
  <sheetFormatPr defaultRowHeight="18" outlineLevelRow="0" outlineLevelCol="0" x14ac:dyDescent="55" defaultColWidth="14.14" customHeight="1"/>
  <cols>
    <col min="1" max="1" width="7.86" customWidth="1"/>
    <col min="2" max="2" width="23.57" customWidth="1"/>
    <col min="3" max="3" width="12.14" customWidth="1"/>
    <col min="4" max="4" width="15" customWidth="1"/>
    <col min="5" max="7" width="13.57" customWidth="1"/>
    <col min="8" max="8" width="10.71" customWidth="1"/>
    <col min="9" max="9" width="15" customWidth="1"/>
    <col min="10" max="10" width="10.71" customWidth="1"/>
    <col min="11" max="11" width="7.86" customWidth="1"/>
  </cols>
  <sheetData>
    <row r="1" spans="1:11" x14ac:dyDescent="0.25">
      <c r="A1" s="3" t="s">
        <v>20</v>
      </c>
      <c r="B1" s="3" t="s">
        <v>21</v>
      </c>
      <c r="C1" s="3" t="s">
        <v>5</v>
      </c>
      <c r="D1" s="3" t="s">
        <v>2</v>
      </c>
      <c r="E1" s="3" t="s">
        <v>22</v>
      </c>
      <c r="F1" s="3" t="s">
        <v>23</v>
      </c>
      <c r="G1" s="3" t="s">
        <v>24</v>
      </c>
      <c r="H1" s="3" t="s">
        <v>13</v>
      </c>
      <c r="I1" s="3" t="s">
        <v>6</v>
      </c>
      <c r="J1" s="3" t="s">
        <v>25</v>
      </c>
      <c r="K1" s="3" t="s">
        <v>26</v>
      </c>
    </row>
    <row r="2" spans="1:11" x14ac:dyDescent="0.25">
      <c r="A2" t="s">
        <v>27</v>
      </c>
      <c r="B2" t="s">
        <v>28</v>
      </c>
      <c r="C2" t="s">
        <v>15</v>
      </c>
      <c r="D2" t="s">
        <v>13</v>
      </c>
      <c r="E2" s="9">
        <v>46266</v>
      </c>
      <c r="F2" s="9">
        <v>46268</v>
      </c>
      <c r="G2">
        <v>8</v>
      </c>
      <c r="H2" s="10">
        <v>1</v>
      </c>
      <c r="I2" s="4">
        <f>G2*(1-H2)</f>
        <v>0</v>
      </c>
      <c r="J2" t="str">
        <f>IF(D2="Done","",F2-TODAY())</f>
        <v/>
      </c>
      <c r="K2" t="b">
        <f>AND(D2&lt;&gt;"Done",F2&lt;TODAY())</f>
        <v>0</v>
      </c>
    </row>
    <row r="3" spans="1:11" x14ac:dyDescent="0.25">
      <c r="A3" t="s">
        <v>29</v>
      </c>
      <c r="B3" t="s">
        <v>30</v>
      </c>
      <c r="C3" t="s">
        <v>8</v>
      </c>
      <c r="D3" t="s">
        <v>13</v>
      </c>
      <c r="E3" s="9">
        <v>46267</v>
      </c>
      <c r="F3" s="9">
        <v>46275</v>
      </c>
      <c r="G3">
        <v>24</v>
      </c>
      <c r="H3" s="10">
        <v>1</v>
      </c>
      <c r="I3" s="4">
        <f>G3*(1-H3)</f>
        <v>0</v>
      </c>
      <c r="J3" t="str">
        <f>IF(D3="Done","",F3-TODAY())</f>
        <v/>
      </c>
      <c r="K3" t="b">
        <f>AND(D3&lt;&gt;"Done",F3&lt;TODAY())</f>
        <v>0</v>
      </c>
    </row>
    <row r="4" spans="1:11" x14ac:dyDescent="0.25">
      <c r="A4" t="s">
        <v>31</v>
      </c>
      <c r="B4" t="s">
        <v>32</v>
      </c>
      <c r="C4" t="s">
        <v>8</v>
      </c>
      <c r="D4" t="s">
        <v>13</v>
      </c>
      <c r="E4" s="9">
        <v>46273</v>
      </c>
      <c r="F4" s="9">
        <v>46280</v>
      </c>
      <c r="G4">
        <v>20</v>
      </c>
      <c r="H4" s="10">
        <v>1</v>
      </c>
      <c r="I4" s="4">
        <f>G4*(1-H4)</f>
        <v>0</v>
      </c>
      <c r="J4" t="str">
        <f>IF(D4="Done","",F4-TODAY())</f>
        <v/>
      </c>
      <c r="K4" t="b">
        <f>AND(D4&lt;&gt;"Done",F4&lt;TODAY())</f>
        <v>0</v>
      </c>
    </row>
    <row r="5" spans="1:11" x14ac:dyDescent="0.25">
      <c r="A5" t="s">
        <v>33</v>
      </c>
      <c r="B5" t="s">
        <v>34</v>
      </c>
      <c r="C5" t="s">
        <v>10</v>
      </c>
      <c r="D5" t="s">
        <v>13</v>
      </c>
      <c r="E5" s="9">
        <v>46273</v>
      </c>
      <c r="F5" s="9">
        <v>46279</v>
      </c>
      <c r="G5">
        <v>16</v>
      </c>
      <c r="H5" s="10">
        <v>1</v>
      </c>
      <c r="I5" s="4">
        <f>G5*(1-H5)</f>
        <v>0</v>
      </c>
      <c r="J5" t="str">
        <f>IF(D5="Done","",F5-TODAY())</f>
        <v/>
      </c>
      <c r="K5" t="b">
        <f>AND(D5&lt;&gt;"Done",F5&lt;TODAY())</f>
        <v>0</v>
      </c>
    </row>
    <row r="6" spans="1:11" x14ac:dyDescent="0.25">
      <c r="A6" t="s">
        <v>35</v>
      </c>
      <c r="B6" t="s">
        <v>36</v>
      </c>
      <c r="C6" t="s">
        <v>12</v>
      </c>
      <c r="D6" t="s">
        <v>9</v>
      </c>
      <c r="E6" s="9">
        <v>46277</v>
      </c>
      <c r="F6" s="9">
        <v>46287</v>
      </c>
      <c r="G6">
        <v>24</v>
      </c>
      <c r="H6" s="10">
        <v>0.7</v>
      </c>
      <c r="I6" s="4">
        <f>G6*(1-H6)</f>
        <v>7.200000000000001</v>
      </c>
      <c r="J6">
        <f>IF(D6="Done","",F6-TODAY())</f>
        <v>-6</v>
      </c>
      <c r="K6" t="b">
        <f>AND(D6&lt;&gt;"Done",F6&lt;TODAY())</f>
        <v>1</v>
      </c>
    </row>
    <row r="7" spans="1:11" x14ac:dyDescent="0.25">
      <c r="A7" t="s">
        <v>37</v>
      </c>
      <c r="B7" t="s">
        <v>38</v>
      </c>
      <c r="C7" t="s">
        <v>10</v>
      </c>
      <c r="D7" t="s">
        <v>9</v>
      </c>
      <c r="E7" s="9">
        <v>46280</v>
      </c>
      <c r="F7" s="9">
        <v>46291</v>
      </c>
      <c r="G7">
        <v>30</v>
      </c>
      <c r="H7" s="10">
        <v>0.5</v>
      </c>
      <c r="I7" s="4">
        <f>G7*(1-H7)</f>
        <v>15</v>
      </c>
      <c r="J7">
        <f>IF(D7="Done","",F7-TODAY())</f>
        <v>-2</v>
      </c>
      <c r="K7" t="b">
        <f>AND(D7&lt;&gt;"Done",F7&lt;TODAY())</f>
        <v>1</v>
      </c>
    </row>
    <row r="8" spans="1:11" x14ac:dyDescent="0.25">
      <c r="A8" t="s">
        <v>39</v>
      </c>
      <c r="B8" t="s">
        <v>40</v>
      </c>
      <c r="C8" t="s">
        <v>8</v>
      </c>
      <c r="D8" t="s">
        <v>9</v>
      </c>
      <c r="E8" s="9">
        <v>46281</v>
      </c>
      <c r="F8" s="9">
        <v>46295</v>
      </c>
      <c r="G8">
        <v>32</v>
      </c>
      <c r="H8" s="10">
        <v>0.4</v>
      </c>
      <c r="I8" s="4">
        <f>G8*(1-H8)</f>
        <v>19.2</v>
      </c>
      <c r="J8">
        <f>IF(D8="Done","",F8-TODAY())</f>
        <v>2</v>
      </c>
      <c r="K8" t="b">
        <f>AND(D8&lt;&gt;"Done",F8&lt;TODAY())</f>
        <v>0</v>
      </c>
    </row>
    <row r="9" spans="1:11" x14ac:dyDescent="0.25">
      <c r="A9" t="s">
        <v>41</v>
      </c>
      <c r="B9" t="s">
        <v>42</v>
      </c>
      <c r="C9" t="s">
        <v>12</v>
      </c>
      <c r="D9" t="s">
        <v>11</v>
      </c>
      <c r="E9" s="9">
        <v>46283</v>
      </c>
      <c r="F9" s="9">
        <v>46297</v>
      </c>
      <c r="G9">
        <v>28</v>
      </c>
      <c r="H9" s="10">
        <v>0.2</v>
      </c>
      <c r="I9" s="4">
        <f>G9*(1-H9)</f>
        <v>22.400000000000002</v>
      </c>
      <c r="J9">
        <f>IF(D9="Done","",F9-TODAY())</f>
        <v>4</v>
      </c>
      <c r="K9" t="b">
        <f>AND(D9&lt;&gt;"Done",F9&lt;TODAY())</f>
        <v>0</v>
      </c>
    </row>
    <row r="10" spans="1:11" x14ac:dyDescent="0.25">
      <c r="A10" t="s">
        <v>43</v>
      </c>
      <c r="B10" t="s">
        <v>44</v>
      </c>
      <c r="C10" t="s">
        <v>10</v>
      </c>
      <c r="D10" t="s">
        <v>7</v>
      </c>
      <c r="E10" s="9">
        <v>46294</v>
      </c>
      <c r="F10" s="9">
        <v>46310</v>
      </c>
      <c r="G10">
        <v>40</v>
      </c>
      <c r="H10" s="10">
        <v>0</v>
      </c>
      <c r="I10" s="4">
        <f>G10*(1-H10)</f>
        <v>40</v>
      </c>
      <c r="J10">
        <f>IF(D10="Done","",F10-TODAY())</f>
        <v>17</v>
      </c>
      <c r="K10" t="b">
        <f>AND(D10&lt;&gt;"Done",F10&lt;TODAY())</f>
        <v>0</v>
      </c>
    </row>
    <row r="11" spans="1:11" x14ac:dyDescent="0.25">
      <c r="A11" t="s">
        <v>45</v>
      </c>
      <c r="B11" t="s">
        <v>46</v>
      </c>
      <c r="C11" t="s">
        <v>14</v>
      </c>
      <c r="D11" t="s">
        <v>9</v>
      </c>
      <c r="E11" s="9">
        <v>46285</v>
      </c>
      <c r="F11" s="9">
        <v>46293</v>
      </c>
      <c r="G11">
        <v>12</v>
      </c>
      <c r="H11" s="10">
        <v>0.6</v>
      </c>
      <c r="I11" s="4">
        <f>G11*(1-H11)</f>
        <v>4.800000000000001</v>
      </c>
      <c r="J11">
        <f>IF(D11="Done","",F11-TODAY())</f>
        <v>0</v>
      </c>
      <c r="K11" t="b">
        <f>AND(D11&lt;&gt;"Done",F11&lt;TODAY())</f>
        <v>0</v>
      </c>
    </row>
    <row r="12" spans="1:11" x14ac:dyDescent="0.25">
      <c r="A12" t="s">
        <v>47</v>
      </c>
      <c r="B12" t="s">
        <v>48</v>
      </c>
      <c r="C12" t="s">
        <v>14</v>
      </c>
      <c r="D12" t="s">
        <v>7</v>
      </c>
      <c r="E12" s="9">
        <v>46300</v>
      </c>
      <c r="F12" s="9">
        <v>46315</v>
      </c>
      <c r="G12">
        <v>36</v>
      </c>
      <c r="H12" s="10">
        <v>0</v>
      </c>
      <c r="I12" s="4">
        <f>G12*(1-H12)</f>
        <v>36</v>
      </c>
      <c r="J12">
        <f>IF(D12="Done","",F12-TODAY())</f>
        <v>22</v>
      </c>
      <c r="K12" t="b">
        <f>AND(D12&lt;&gt;"Done",F12&lt;TODAY())</f>
        <v>0</v>
      </c>
    </row>
    <row r="13" spans="1:11" x14ac:dyDescent="0.25">
      <c r="A13" t="s">
        <v>49</v>
      </c>
      <c r="B13" t="s">
        <v>50</v>
      </c>
      <c r="C13" t="s">
        <v>12</v>
      </c>
      <c r="D13" t="s">
        <v>7</v>
      </c>
      <c r="E13" s="9">
        <v>46307</v>
      </c>
      <c r="F13" s="9">
        <v>46319</v>
      </c>
      <c r="G13">
        <v>20</v>
      </c>
      <c r="H13" s="10">
        <v>0</v>
      </c>
      <c r="I13" s="4">
        <f>G13*(1-H13)</f>
        <v>20</v>
      </c>
      <c r="J13">
        <f>IF(D13="Done","",F13-TODAY())</f>
        <v>26</v>
      </c>
      <c r="K13" t="b">
        <f>AND(D13&lt;&gt;"Done",F13&lt;TODAY())</f>
        <v>0</v>
      </c>
    </row>
    <row r="14" spans="1:11" x14ac:dyDescent="0.25">
      <c r="A14" t="s">
        <v>51</v>
      </c>
      <c r="B14" t="s">
        <v>52</v>
      </c>
      <c r="C14" t="s">
        <v>15</v>
      </c>
      <c r="D14" t="s">
        <v>7</v>
      </c>
      <c r="E14" s="9">
        <v>46321</v>
      </c>
      <c r="F14" s="9">
        <v>46325</v>
      </c>
      <c r="G14">
        <v>8</v>
      </c>
      <c r="H14" s="10">
        <v>0</v>
      </c>
      <c r="I14" s="4">
        <f>G14*(1-H14)</f>
        <v>8</v>
      </c>
      <c r="J14">
        <f>IF(D14="Done","",F14-TODAY())</f>
        <v>32</v>
      </c>
      <c r="K14" t="b">
        <f>AND(D14&lt;&gt;"Done",F14&lt;TODAY())</f>
        <v>0</v>
      </c>
    </row>
    <row r="15" spans="1:11" x14ac:dyDescent="0.25">
      <c r="A15" t="s">
        <v>53</v>
      </c>
      <c r="B15" t="s">
        <v>54</v>
      </c>
      <c r="C15" t="s">
        <v>8</v>
      </c>
      <c r="D15" t="s">
        <v>7</v>
      </c>
      <c r="E15" s="9">
        <v>46310</v>
      </c>
      <c r="F15" s="9">
        <v>46323</v>
      </c>
      <c r="G15">
        <v>16</v>
      </c>
      <c r="H15" s="10">
        <v>0</v>
      </c>
      <c r="I15" s="4">
        <f>G15*(1-H15)</f>
        <v>16</v>
      </c>
      <c r="J15">
        <f>IF(D15="Done","",F15-TODAY())</f>
        <v>30</v>
      </c>
      <c r="K15" t="b">
        <f>AND(D15&lt;&gt;"Done",F15&lt;TODAY())</f>
        <v>0</v>
      </c>
    </row>
  </sheetData>
  <autoFilter ref="A1:K15"/>
  <conditionalFormatting sqref="A2:K15">
    <cfRule type="expression" dxfId="0" priority="1">
      <formula>$K2=TRUE</formula>
    </cfRule>
  </conditionalFormatting>
  <conditionalFormatting sqref="D2:D15">
    <cfRule type="containsText" dxfId="1" priority="2" operator="containsText" text="Blocked">
      <formula>NOT(ISERROR(SEARCH("Blocked",D2)))</formula>
    </cfRule>
  </conditionalFormatting>
  <conditionalFormatting sqref="D2:D15">
    <cfRule type="containsText" dxfId="2" priority="3" operator="containsText" text="Done">
      <formula>NOT(ISERROR(SEARCH("Done",D2)))</formula>
    </cfRule>
  </conditionalFormatting>
  <conditionalFormatting sqref="H2:H15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{8D03A2A1-B3F9-4D37-AF45-48696B30B4AD}</x14:id>
        </ext>
      </extLst>
    </cfRule>
  </conditionalFormatting>
  <dataValidations count="4">
    <dataValidation type="list" allowBlank="1" showErrorMessage="1" errorStyle="stop" errorTitle="Not on the team" sqref="C2:C35">
      <formula1>Team!$A$2:$A$6</formula1>
    </dataValidation>
    <dataValidation type="list" allowBlank="1" showInputMessage="1" prompt="Not started, In progress, Blocked or Done" showErrorMessage="1" errorStyle="stop" sqref="D2:D35">
      <formula1>"Not started,In progress,Blocked,Done"</formula1>
    </dataValidation>
    <dataValidation type="custom" allowBlank="1" showErrorMessage="1" errorStyle="warning" error="The due date is before the start." sqref="F2:F35">
      <formula1>F2&gt;=E2</formula1>
    </dataValidation>
    <dataValidation type="decimal" allowBlank="1" showErrorMessage="1" errorStyle="stop" error="Done is a share from 0% to 100%." sqref="H2:H35">
      <formula1>0</formula1>
      <formula2>1</formula2>
    </dataValidation>
  </dataValidations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D03A2A1-B3F9-4D37-AF45-48696B30B4AD}">
            <x14:dataBar minLength="0" maxLength="100">
              <x14:cfvo type="min"/>
              <x14:cfvo type="max"/>
            </x14:dataBar>
          </x14:cfRule>
          <xm:sqref>H2:H15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workbookViewId="0"/>
  </sheetViews>
  <sheetFormatPr defaultRowHeight="18" outlineLevelRow="0" outlineLevelCol="0" x14ac:dyDescent="55" defaultColWidth="14.14" customHeight="1"/>
  <cols>
    <col min="1" max="1" width="13.57" customWidth="1"/>
    <col min="2" max="2" width="16.43" customWidth="1"/>
    <col min="3" max="3" width="15" customWidth="1"/>
    <col min="4" max="5" width="13.57" customWidth="1"/>
    <col min="6" max="6" width="12.14" customWidth="1"/>
  </cols>
  <sheetData>
    <row r="1" spans="1:9" x14ac:dyDescent="0.25">
      <c r="A1" s="3" t="s">
        <v>55</v>
      </c>
      <c r="B1" s="3" t="s">
        <v>56</v>
      </c>
      <c r="C1" s="3" t="s">
        <v>57</v>
      </c>
      <c r="D1" s="3" t="s">
        <v>58</v>
      </c>
      <c r="E1" s="3" t="s">
        <v>59</v>
      </c>
      <c r="F1" s="3" t="s">
        <v>60</v>
      </c>
      <c r="H1" s="3" t="s">
        <v>55</v>
      </c>
      <c r="I1" s="3" t="s">
        <v>59</v>
      </c>
    </row>
    <row r="2" spans="1:9" x14ac:dyDescent="0.25">
      <c r="A2" t="s">
        <v>8</v>
      </c>
      <c r="B2" t="s">
        <v>61</v>
      </c>
      <c r="C2">
        <v>30</v>
      </c>
      <c r="D2">
        <f>COUNTIFS(Tasks!$C:$C,A2,Tasks!$D:$D,"&lt;&gt;Done")</f>
        <v>2</v>
      </c>
      <c r="E2">
        <f>SUMIFS(Tasks!$I:$I,Tasks!$C:$C,A2)</f>
        <v>35.2</v>
      </c>
      <c r="F2" s="10">
        <f>IFERROR(E2/(C2*2),0)</f>
        <v>0.5866666666666667</v>
      </c>
      <c r="H2" t="str">
        <f>A2</f>
        <v>Maya</v>
      </c>
      <c r="I2" s="4">
        <f>E2</f>
        <v>35.2</v>
      </c>
    </row>
    <row r="3" spans="1:9" x14ac:dyDescent="0.25">
      <c r="A3" t="s">
        <v>10</v>
      </c>
      <c r="B3" t="s">
        <v>62</v>
      </c>
      <c r="C3">
        <v>40</v>
      </c>
      <c r="D3">
        <f>COUNTIFS(Tasks!$C:$C,A3,Tasks!$D:$D,"&lt;&gt;Done")</f>
        <v>2</v>
      </c>
      <c r="E3">
        <f>SUMIFS(Tasks!$I:$I,Tasks!$C:$C,A3)</f>
        <v>55</v>
      </c>
      <c r="F3" s="10">
        <f>IFERROR(E3/(C3*2),0)</f>
        <v>0.6875</v>
      </c>
      <c r="H3" t="str">
        <f>A3</f>
        <v>Omar</v>
      </c>
      <c r="I3" s="4">
        <f>E3</f>
        <v>55</v>
      </c>
    </row>
    <row r="4" spans="1:9" x14ac:dyDescent="0.25">
      <c r="A4" t="s">
        <v>12</v>
      </c>
      <c r="B4" t="s">
        <v>62</v>
      </c>
      <c r="C4">
        <v>40</v>
      </c>
      <c r="D4">
        <f>COUNTIFS(Tasks!$C:$C,A4,Tasks!$D:$D,"&lt;&gt;Done")</f>
        <v>3</v>
      </c>
      <c r="E4">
        <f>SUMIFS(Tasks!$I:$I,Tasks!$C:$C,A4)</f>
        <v>49.6</v>
      </c>
      <c r="F4" s="10">
        <f>IFERROR(E4/(C4*2),0)</f>
        <v>0.62</v>
      </c>
      <c r="H4" t="str">
        <f>A4</f>
        <v>Priya</v>
      </c>
      <c r="I4" s="4">
        <f>E4</f>
        <v>49.6</v>
      </c>
    </row>
    <row r="5" spans="1:9" x14ac:dyDescent="0.25">
      <c r="A5" t="s">
        <v>14</v>
      </c>
      <c r="B5" t="s">
        <v>63</v>
      </c>
      <c r="C5">
        <v>35</v>
      </c>
      <c r="D5">
        <f>COUNTIFS(Tasks!$C:$C,A5,Tasks!$D:$D,"&lt;&gt;Done")</f>
        <v>2</v>
      </c>
      <c r="E5">
        <f>SUMIFS(Tasks!$I:$I,Tasks!$C:$C,A5)</f>
        <v>40.8</v>
      </c>
      <c r="F5" s="10">
        <f>IFERROR(E5/(C5*2),0)</f>
        <v>0.5828571428571429</v>
      </c>
      <c r="H5" t="str">
        <f>A5</f>
        <v>Lucas</v>
      </c>
      <c r="I5" s="4">
        <f>E5</f>
        <v>40.8</v>
      </c>
    </row>
    <row r="6" spans="1:9" x14ac:dyDescent="0.25">
      <c r="A6" t="s">
        <v>15</v>
      </c>
      <c r="B6" t="s">
        <v>64</v>
      </c>
      <c r="C6">
        <v>25</v>
      </c>
      <c r="D6">
        <f>COUNTIFS(Tasks!$C:$C,A6,Tasks!$D:$D,"&lt;&gt;Done")</f>
        <v>1</v>
      </c>
      <c r="E6">
        <f>SUMIFS(Tasks!$I:$I,Tasks!$C:$C,A6)</f>
        <v>8</v>
      </c>
      <c r="F6" s="10">
        <f>IFERROR(E6/(C6*2),0)</f>
        <v>0.16</v>
      </c>
      <c r="H6" t="str">
        <f>A6</f>
        <v>Ines</v>
      </c>
      <c r="I6" s="4">
        <f>E6</f>
        <v>8</v>
      </c>
    </row>
  </sheetData>
  <conditionalFormatting sqref="F2:F6">
    <cfRule type="cellIs" dxfId="3" priority="1" operator="greaterThan">
      <formula>1</formula>
    </cfRule>
  </conditionalFormatting>
  <conditionalFormatting sqref="E2:E6">
    <cfRule type="dataBar" priority="2">
      <dataBar>
        <cfvo type="min"/>
        <cfvo type="max"/>
        <color rgb="FFFFB628"/>
      </dataBar>
      <drawing r:id="rIdDrawing1"/>
      <extLst>
        <ext xmlns:x14="http://schemas.microsoft.com/office/spreadsheetml/2009/9/main" uri="{B025F937-C7B1-47D3-B67F-A62EFF666E3E}">
          <x14:id>{6F1DA7C6-9487-4913-A479-CB0C372865C6}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F1DA7C6-9487-4913-A479-CB0C372865C6}">
            <x14:dataBar minLength="0" maxLength="100">
              <x14:cfvo type="min"/>
              <x14:cfvo type="max"/>
            </x14:dataBar>
          </x14:cfRule>
          <xm:sqref>E2:E6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Tasks</vt:lpstr>
      <vt:lpstr>Team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AgentSwarms Sheets</dc:creator>
  <dc:title/>
  <dc:subject/>
  <dc:description/>
  <cp:keywords/>
  <cp:category/>
  <cp:lastModifiedBy>Unknown</cp:lastModifiedBy>
  <dcterms:created xsi:type="dcterms:W3CDTF">2026-09-28T18:28:47Z</dcterms:created>
  <dcterms:modified xsi:type="dcterms:W3CDTF">2026-09-28T18:28:47Z</dcterms:modified>
</cp:coreProperties>
</file>