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charts/chart4.xml" ContentType="application/vnd.openxmlformats-officedocument.drawingml.chart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Orders" state="visible" r:id="rId5"/>
    <sheet sheetId="3" name="Products" state="visible" r:id="rId6"/>
    <sheet sheetId="4" name="Reps" state="visible" r:id="rId7"/>
  </sheets>
  <calcPr calcId="171027" fullCalcOnLoad="1"/>
</workbook>
</file>

<file path=xl/sharedStrings.xml><?xml version="1.0" encoding="utf-8"?>
<sst xmlns="http://schemas.openxmlformats.org/spreadsheetml/2006/main" count="1299" uniqueCount="297">
  <si>
    <t>Sales performance 2026</t>
  </si>
  <si>
    <t>Every figure is a formula over the Orders sheet: change an order and the dashboard follows.</t>
  </si>
  <si>
    <t>Revenue</t>
  </si>
  <si>
    <t>Gross margin</t>
  </si>
  <si>
    <t>Orders</t>
  </si>
  <si>
    <t>Average order</t>
  </si>
  <si>
    <t>Returned</t>
  </si>
  <si>
    <t>Month</t>
  </si>
  <si>
    <t>North</t>
  </si>
  <si>
    <t>South</t>
  </si>
  <si>
    <t>East</t>
  </si>
  <si>
    <t>West</t>
  </si>
  <si>
    <t>Category</t>
  </si>
  <si>
    <t>Leaderboard</t>
  </si>
  <si>
    <t>Sold</t>
  </si>
  <si>
    <t>Hardware</t>
  </si>
  <si>
    <t>Software</t>
  </si>
  <si>
    <t>Ben Okafor</t>
  </si>
  <si>
    <t>Services</t>
  </si>
  <si>
    <t>Farid Haddad</t>
  </si>
  <si>
    <t>Dara Kim</t>
  </si>
  <si>
    <t>Chen Wei</t>
  </si>
  <si>
    <t>Best product</t>
  </si>
  <si>
    <t>Elena Ruiz</t>
  </si>
  <si>
    <t>Open orders over $3,000</t>
  </si>
  <si>
    <t>SO-10098</t>
  </si>
  <si>
    <t>SO-10117</t>
  </si>
  <si>
    <t>SO-10131</t>
  </si>
  <si>
    <t>SO-10150</t>
  </si>
  <si>
    <t>SO-10153</t>
  </si>
  <si>
    <t>SO-10163</t>
  </si>
  <si>
    <t>SO-10170</t>
  </si>
  <si>
    <t>SO-10187</t>
  </si>
  <si>
    <t>SO-10198</t>
  </si>
  <si>
    <t>SO-10206</t>
  </si>
  <si>
    <t>SO-10219</t>
  </si>
  <si>
    <t>SO-10222</t>
  </si>
  <si>
    <t>Order</t>
  </si>
  <si>
    <t>Date</t>
  </si>
  <si>
    <t>Region</t>
  </si>
  <si>
    <t>Rep</t>
  </si>
  <si>
    <t>SKU</t>
  </si>
  <si>
    <t>Product</t>
  </si>
  <si>
    <t>Qty</t>
  </si>
  <si>
    <t>Cost</t>
  </si>
  <si>
    <t>Margin</t>
  </si>
  <si>
    <t>Status</t>
  </si>
  <si>
    <t>SO-10001</t>
  </si>
  <si>
    <t>Asha Rao</t>
  </si>
  <si>
    <t>P-100</t>
  </si>
  <si>
    <t>Paid</t>
  </si>
  <si>
    <t>SO-10002</t>
  </si>
  <si>
    <t>P-400</t>
  </si>
  <si>
    <t>SO-10003</t>
  </si>
  <si>
    <t>SO-10004</t>
  </si>
  <si>
    <t>P-200</t>
  </si>
  <si>
    <t>SO-10005</t>
  </si>
  <si>
    <t>P-410</t>
  </si>
  <si>
    <t>Open</t>
  </si>
  <si>
    <t>SO-10006</t>
  </si>
  <si>
    <t>SO-10007</t>
  </si>
  <si>
    <t>SO-10008</t>
  </si>
  <si>
    <t>SO-10009</t>
  </si>
  <si>
    <t>SO-10010</t>
  </si>
  <si>
    <t>SO-10011</t>
  </si>
  <si>
    <t>SO-10012</t>
  </si>
  <si>
    <t>P-310</t>
  </si>
  <si>
    <t>SO-10013</t>
  </si>
  <si>
    <t>P-110</t>
  </si>
  <si>
    <t>SO-10014</t>
  </si>
  <si>
    <t>SO-10015</t>
  </si>
  <si>
    <t>SO-10016</t>
  </si>
  <si>
    <t>SO-10017</t>
  </si>
  <si>
    <t>SO-10018</t>
  </si>
  <si>
    <t>SO-10019</t>
  </si>
  <si>
    <t>SO-10020</t>
  </si>
  <si>
    <t>SO-10021</t>
  </si>
  <si>
    <t>SO-10022</t>
  </si>
  <si>
    <t>P-300</t>
  </si>
  <si>
    <t>SO-10023</t>
  </si>
  <si>
    <t>SO-10024</t>
  </si>
  <si>
    <t>SO-10025</t>
  </si>
  <si>
    <t>SO-10026</t>
  </si>
  <si>
    <t>SO-10027</t>
  </si>
  <si>
    <t>SO-10028</t>
  </si>
  <si>
    <t>SO-10029</t>
  </si>
  <si>
    <t>SO-10030</t>
  </si>
  <si>
    <t>SO-10031</t>
  </si>
  <si>
    <t>SO-10032</t>
  </si>
  <si>
    <t>SO-10033</t>
  </si>
  <si>
    <t>SO-10034</t>
  </si>
  <si>
    <t>SO-10035</t>
  </si>
  <si>
    <t>SO-10036</t>
  </si>
  <si>
    <t>SO-10037</t>
  </si>
  <si>
    <t>SO-10038</t>
  </si>
  <si>
    <t>SO-10039</t>
  </si>
  <si>
    <t>SO-10040</t>
  </si>
  <si>
    <t>SO-10041</t>
  </si>
  <si>
    <t>SO-10042</t>
  </si>
  <si>
    <t>SO-10043</t>
  </si>
  <si>
    <t>SO-10044</t>
  </si>
  <si>
    <t>SO-10045</t>
  </si>
  <si>
    <t>SO-10046</t>
  </si>
  <si>
    <t>SO-10047</t>
  </si>
  <si>
    <t>SO-10048</t>
  </si>
  <si>
    <t>SO-10049</t>
  </si>
  <si>
    <t>SO-10050</t>
  </si>
  <si>
    <t>SO-10051</t>
  </si>
  <si>
    <t>SO-10052</t>
  </si>
  <si>
    <t>SO-10053</t>
  </si>
  <si>
    <t>SO-10054</t>
  </si>
  <si>
    <t>SO-10055</t>
  </si>
  <si>
    <t>SO-10056</t>
  </si>
  <si>
    <t>SO-10057</t>
  </si>
  <si>
    <t>SO-10058</t>
  </si>
  <si>
    <t>SO-10059</t>
  </si>
  <si>
    <t>SO-10060</t>
  </si>
  <si>
    <t>SO-10061</t>
  </si>
  <si>
    <t>SO-10062</t>
  </si>
  <si>
    <t>SO-10063</t>
  </si>
  <si>
    <t>SO-10064</t>
  </si>
  <si>
    <t>SO-10065</t>
  </si>
  <si>
    <t>SO-10066</t>
  </si>
  <si>
    <t>SO-10067</t>
  </si>
  <si>
    <t>SO-10068</t>
  </si>
  <si>
    <t>SO-10069</t>
  </si>
  <si>
    <t>SO-10070</t>
  </si>
  <si>
    <t>SO-10071</t>
  </si>
  <si>
    <t>SO-10072</t>
  </si>
  <si>
    <t>SO-10073</t>
  </si>
  <si>
    <t>SO-10074</t>
  </si>
  <si>
    <t>SO-10075</t>
  </si>
  <si>
    <t>SO-10076</t>
  </si>
  <si>
    <t>SO-10077</t>
  </si>
  <si>
    <t>SO-10078</t>
  </si>
  <si>
    <t>SO-10079</t>
  </si>
  <si>
    <t>SO-10080</t>
  </si>
  <si>
    <t>SO-10081</t>
  </si>
  <si>
    <t>SO-10082</t>
  </si>
  <si>
    <t>SO-10083</t>
  </si>
  <si>
    <t>SO-10084</t>
  </si>
  <si>
    <t>SO-10085</t>
  </si>
  <si>
    <t>SO-10086</t>
  </si>
  <si>
    <t>SO-10087</t>
  </si>
  <si>
    <t>SO-10088</t>
  </si>
  <si>
    <t>SO-10089</t>
  </si>
  <si>
    <t>SO-10090</t>
  </si>
  <si>
    <t>SO-10091</t>
  </si>
  <si>
    <t>SO-10092</t>
  </si>
  <si>
    <t>SO-10093</t>
  </si>
  <si>
    <t>SO-10094</t>
  </si>
  <si>
    <t>SO-10095</t>
  </si>
  <si>
    <t>SO-10096</t>
  </si>
  <si>
    <t>SO-10097</t>
  </si>
  <si>
    <t>SO-10099</t>
  </si>
  <si>
    <t>SO-10100</t>
  </si>
  <si>
    <t>SO-10101</t>
  </si>
  <si>
    <t>SO-10102</t>
  </si>
  <si>
    <t>SO-10103</t>
  </si>
  <si>
    <t>SO-10104</t>
  </si>
  <si>
    <t>SO-10105</t>
  </si>
  <si>
    <t>SO-10106</t>
  </si>
  <si>
    <t>SO-10107</t>
  </si>
  <si>
    <t>SO-10108</t>
  </si>
  <si>
    <t>SO-10109</t>
  </si>
  <si>
    <t>SO-10110</t>
  </si>
  <si>
    <t>SO-10111</t>
  </si>
  <si>
    <t>SO-10112</t>
  </si>
  <si>
    <t>SO-10113</t>
  </si>
  <si>
    <t>SO-10114</t>
  </si>
  <si>
    <t>SO-10115</t>
  </si>
  <si>
    <t>SO-10116</t>
  </si>
  <si>
    <t>SO-10118</t>
  </si>
  <si>
    <t>SO-10119</t>
  </si>
  <si>
    <t>SO-10120</t>
  </si>
  <si>
    <t>SO-10121</t>
  </si>
  <si>
    <t>SO-10122</t>
  </si>
  <si>
    <t>SO-10123</t>
  </si>
  <si>
    <t>SO-10124</t>
  </si>
  <si>
    <t>SO-10125</t>
  </si>
  <si>
    <t>SO-10126</t>
  </si>
  <si>
    <t>SO-10127</t>
  </si>
  <si>
    <t>SO-10128</t>
  </si>
  <si>
    <t>SO-10129</t>
  </si>
  <si>
    <t>SO-10130</t>
  </si>
  <si>
    <t>SO-10132</t>
  </si>
  <si>
    <t>SO-10133</t>
  </si>
  <si>
    <t>SO-10134</t>
  </si>
  <si>
    <t>SO-10135</t>
  </si>
  <si>
    <t>SO-10136</t>
  </si>
  <si>
    <t>SO-10137</t>
  </si>
  <si>
    <t>SO-10138</t>
  </si>
  <si>
    <t>SO-10139</t>
  </si>
  <si>
    <t>SO-10140</t>
  </si>
  <si>
    <t>SO-10141</t>
  </si>
  <si>
    <t>SO-10142</t>
  </si>
  <si>
    <t>SO-10143</t>
  </si>
  <si>
    <t>SO-10144</t>
  </si>
  <si>
    <t>SO-10145</t>
  </si>
  <si>
    <t>SO-10146</t>
  </si>
  <si>
    <t>SO-10147</t>
  </si>
  <si>
    <t>SO-10148</t>
  </si>
  <si>
    <t>SO-10149</t>
  </si>
  <si>
    <t>SO-10151</t>
  </si>
  <si>
    <t>SO-10152</t>
  </si>
  <si>
    <t>SO-10154</t>
  </si>
  <si>
    <t>SO-10155</t>
  </si>
  <si>
    <t>SO-10156</t>
  </si>
  <si>
    <t>SO-10157</t>
  </si>
  <si>
    <t>SO-10158</t>
  </si>
  <si>
    <t>SO-10159</t>
  </si>
  <si>
    <t>SO-10160</t>
  </si>
  <si>
    <t>SO-10161</t>
  </si>
  <si>
    <t>SO-10162</t>
  </si>
  <si>
    <t>SO-10164</t>
  </si>
  <si>
    <t>SO-10165</t>
  </si>
  <si>
    <t>SO-10166</t>
  </si>
  <si>
    <t>SO-10167</t>
  </si>
  <si>
    <t>SO-10168</t>
  </si>
  <si>
    <t>SO-10169</t>
  </si>
  <si>
    <t>SO-10171</t>
  </si>
  <si>
    <t>SO-10172</t>
  </si>
  <si>
    <t>SO-10173</t>
  </si>
  <si>
    <t>SO-10174</t>
  </si>
  <si>
    <t>SO-10175</t>
  </si>
  <si>
    <t>SO-10176</t>
  </si>
  <si>
    <t>SO-10177</t>
  </si>
  <si>
    <t>SO-10178</t>
  </si>
  <si>
    <t>SO-10179</t>
  </si>
  <si>
    <t>SO-10180</t>
  </si>
  <si>
    <t>SO-10181</t>
  </si>
  <si>
    <t>SO-10182</t>
  </si>
  <si>
    <t>SO-10183</t>
  </si>
  <si>
    <t>SO-10184</t>
  </si>
  <si>
    <t>SO-10185</t>
  </si>
  <si>
    <t>SO-10186</t>
  </si>
  <si>
    <t>SO-10188</t>
  </si>
  <si>
    <t>SO-10189</t>
  </si>
  <si>
    <t>SO-10190</t>
  </si>
  <si>
    <t>SO-10191</t>
  </si>
  <si>
    <t>SO-10192</t>
  </si>
  <si>
    <t>SO-10193</t>
  </si>
  <si>
    <t>SO-10194</t>
  </si>
  <si>
    <t>SO-10195</t>
  </si>
  <si>
    <t>SO-10196</t>
  </si>
  <si>
    <t>SO-10197</t>
  </si>
  <si>
    <t>SO-10199</t>
  </si>
  <si>
    <t>SO-10200</t>
  </si>
  <si>
    <t>SO-10201</t>
  </si>
  <si>
    <t>SO-10202</t>
  </si>
  <si>
    <t>SO-10203</t>
  </si>
  <si>
    <t>SO-10204</t>
  </si>
  <si>
    <t>SO-10205</t>
  </si>
  <si>
    <t>SO-10207</t>
  </si>
  <si>
    <t>SO-10208</t>
  </si>
  <si>
    <t>SO-10209</t>
  </si>
  <si>
    <t>SO-10210</t>
  </si>
  <si>
    <t>SO-10211</t>
  </si>
  <si>
    <t>SO-10212</t>
  </si>
  <si>
    <t>SO-10213</t>
  </si>
  <si>
    <t>SO-10214</t>
  </si>
  <si>
    <t>SO-10215</t>
  </si>
  <si>
    <t>SO-10216</t>
  </si>
  <si>
    <t>SO-10217</t>
  </si>
  <si>
    <t>SO-10218</t>
  </si>
  <si>
    <t>SO-10220</t>
  </si>
  <si>
    <t>SO-10221</t>
  </si>
  <si>
    <t>SO-10223</t>
  </si>
  <si>
    <t>SO-10224</t>
  </si>
  <si>
    <t>SO-10225</t>
  </si>
  <si>
    <t>SO-10226</t>
  </si>
  <si>
    <t>SO-10227</t>
  </si>
  <si>
    <t>SO-10228</t>
  </si>
  <si>
    <t>SO-10229</t>
  </si>
  <si>
    <t>SO-10230</t>
  </si>
  <si>
    <t>SO-10231</t>
  </si>
  <si>
    <t>SO-10232</t>
  </si>
  <si>
    <t>SO-10233</t>
  </si>
  <si>
    <t>SO-10234</t>
  </si>
  <si>
    <t>SO-10235</t>
  </si>
  <si>
    <t>SO-10236</t>
  </si>
  <si>
    <t>SO-10237</t>
  </si>
  <si>
    <t>SO-10238</t>
  </si>
  <si>
    <t>SO-10239</t>
  </si>
  <si>
    <t>SO-10240</t>
  </si>
  <si>
    <t>Unit price</t>
  </si>
  <si>
    <t>Unit cost</t>
  </si>
  <si>
    <t>Widget</t>
  </si>
  <si>
    <t>Widget Pro</t>
  </si>
  <si>
    <t>Gadget</t>
  </si>
  <si>
    <t>Cloud Seat</t>
  </si>
  <si>
    <t>Cloud Seat Plus</t>
  </si>
  <si>
    <t>Setup</t>
  </si>
  <si>
    <t>Training day</t>
  </si>
  <si>
    <t>Annual target</t>
  </si>
  <si>
    <t>Attainment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</si>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</sst>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"/>
    <numFmt numFmtId="165" formatCode="0.0%"/>
    <numFmt numFmtId="166" formatCode="mmm"/>
    <numFmt numFmtId="167" formatCode="yyyy-mm-dd"/>
    <numFmt numFmtId="168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1F4E78"/>
      <sz val="16"/>
      <name val="Calibri"/>
    </font>
    <font>
      <i/>
      <color rgb="FF595959"/>
      <sz val="11"/>
      <name val="Calibri"/>
    </font>
    <font>
      <b/>
      <color rgb="FF595959"/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0" fontId="5" fillId="2" borderId="0" xfId="0" applyFont="1" applyFill="1"/>
    <xf numFmtId="166" fontId="0" fillId="0" borderId="0" xfId="0" applyNumberFormat="1"/>
    <xf numFmtId="164" fontId="0" fillId="0" borderId="0" xfId="0" applyNumberFormat="1"/>
    <xf numFmtId="0" fontId="6" fillId="0" borderId="0" xfId="0" applyFont="1"/>
    <xf numFmtId="167" fontId="0" fillId="0" borderId="0" xfId="0" applyNumberFormat="1"/>
    <xf numFmtId="168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  <strike/>
      </font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Revenue by month and region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Dashboard!$B$8</c:f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cat>
            <c:strRef>
              <c:f>Dashboard!$A$9:$A$20</c:f>
            </c:strRef>
          </c:cat>
          <c:val>
            <c:numRef>
              <c:f>Dashboard!$B$9:$B$20</c:f>
            </c:numRef>
          </c:val>
          <c:smooth val="1"/>
        </c:ser>
        <c:ser>
          <c:idx val="1"/>
          <c:order val="1"/>
          <c:tx>
            <c:strRef>
              <c:f>Dashboard!$C$8</c:f>
            </c:strRef>
          </c:tx>
          <c:spPr>
            <a:ln w="28575" cap="rnd">
              <a:solidFill>
                <a:srgbClr val="ED7D31"/>
              </a:solidFill>
              <a:round/>
            </a:ln>
          </c:spPr>
          <c:marker>
            <c:symbol val="none"/>
          </c:marker>
          <c:cat>
            <c:strRef>
              <c:f>Dashboard!$A$9:$A$20</c:f>
            </c:strRef>
          </c:cat>
          <c:val>
            <c:numRef>
              <c:f>Dashboard!$C$9:$C$20</c:f>
            </c:numRef>
          </c:val>
          <c:smooth val="1"/>
        </c:ser>
        <c:ser>
          <c:idx val="2"/>
          <c:order val="2"/>
          <c:tx>
            <c:strRef>
              <c:f>Dashboard!$D$8</c:f>
            </c:strRef>
          </c:tx>
          <c:spPr>
            <a:ln w="28575" cap="rnd">
              <a:solidFill>
                <a:srgbClr val="A5A5A5"/>
              </a:solidFill>
              <a:round/>
            </a:ln>
          </c:spPr>
          <c:marker>
            <c:symbol val="none"/>
          </c:marker>
          <c:cat>
            <c:strRef>
              <c:f>Dashboard!$A$9:$A$20</c:f>
            </c:strRef>
          </c:cat>
          <c:val>
            <c:numRef>
              <c:f>Dashboard!$D$9:$D$20</c:f>
            </c:numRef>
          </c:val>
          <c:smooth val="1"/>
        </c:ser>
        <c:ser>
          <c:idx val="3"/>
          <c:order val="3"/>
          <c:tx>
            <c:strRef>
              <c:f>Dashboard!$E$8</c:f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cat>
            <c:strRef>
              <c:f>Dashboard!$A$9:$A$20</c:f>
            </c:strRef>
          </c:cat>
          <c:val>
            <c:numRef>
              <c:f>Dashboard!$E$9:$E$20</c:f>
            </c:numRef>
          </c:val>
          <c:smooth val="1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Monthly revenue, stacked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Dashboard!$B$8</c:f>
            </c:strRef>
          </c:tx>
          <c:spPr>
            <a:solidFill>
              <a:srgbClr val="4472C4"/>
            </a:solidFill>
          </c:spPr>
          <c:cat>
            <c:strRef>
              <c:f>Dashboard!$A$9:$A$20</c:f>
            </c:strRef>
          </c:cat>
          <c:val>
            <c:numRef>
              <c:f>Dashboard!$B$9:$B$20</c:f>
            </c:numRef>
          </c:val>
        </c:ser>
        <c:ser>
          <c:idx val="1"/>
          <c:order val="1"/>
          <c:tx>
            <c:strRef>
              <c:f>Dashboard!$C$8</c:f>
            </c:strRef>
          </c:tx>
          <c:spPr>
            <a:solidFill>
              <a:srgbClr val="ED7D31"/>
            </a:solidFill>
          </c:spPr>
          <c:cat>
            <c:strRef>
              <c:f>Dashboard!$A$9:$A$20</c:f>
            </c:strRef>
          </c:cat>
          <c:val>
            <c:numRef>
              <c:f>Dashboard!$C$9:$C$20</c:f>
            </c:numRef>
          </c:val>
        </c:ser>
        <c:ser>
          <c:idx val="2"/>
          <c:order val="2"/>
          <c:tx>
            <c:strRef>
              <c:f>Dashboard!$D$8</c:f>
            </c:strRef>
          </c:tx>
          <c:spPr>
            <a:solidFill>
              <a:srgbClr val="A5A5A5"/>
            </a:solidFill>
          </c:spPr>
          <c:cat>
            <c:strRef>
              <c:f>Dashboard!$A$9:$A$20</c:f>
            </c:strRef>
          </c:cat>
          <c:val>
            <c:numRef>
              <c:f>Dashboard!$D$9:$D$20</c:f>
            </c:numRef>
          </c:val>
        </c:ser>
        <c:ser>
          <c:idx val="3"/>
          <c:order val="3"/>
          <c:tx>
            <c:strRef>
              <c:f>Dashboard!$E$8</c:f>
            </c:strRef>
          </c:tx>
          <c:spPr>
            <a:solidFill>
              <a:srgbClr val="FFC000"/>
            </a:solidFill>
          </c:spPr>
          <c:cat>
            <c:strRef>
              <c:f>Dashboard!$A$9:$A$20</c:f>
            </c:strRef>
          </c:cat>
          <c:val>
            <c:numRef>
              <c:f>Dashboard!$E$9:$E$20</c:f>
            </c:numRef>
          </c:val>
        </c:ser>
        <c:gapWidth val="150"/>
        <c:overlap val="10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Revenue by category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Dashboard!$H$8</c:f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Dashboard!$G$9:$G$11</c:f>
            </c:strRef>
          </c:cat>
          <c:val>
            <c:numRef>
              <c:f>Dashboard!$H$9:$H$11</c:f>
            </c:numRef>
          </c:val>
        </c:ser>
        <c:firstSliceAng val="0"/>
        <c:holeSize val="50"/>
      </c:doughnutChart>
    </c:plotArea>
    <c:legend>
      <c:legendPos val="r"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Sold against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Reps!$I$1</c:f>
            </c:strRef>
          </c:tx>
          <c:spPr>
            <a:solidFill>
              <a:srgbClr val="4472C4"/>
            </a:solidFill>
          </c:spPr>
          <c:cat>
            <c:strRef>
              <c:f>Reps!$H$2:$H$7</c:f>
            </c:strRef>
          </c:cat>
          <c:val>
            <c:numRef>
              <c:f>Reps!$I$2:$I$7</c:f>
            </c:numRef>
          </c:val>
        </c:ser>
        <c:gapWidth val="150"/>
        <c:axId val="10"/>
        <c:axId val="20"/>
      </c:barChart>
      <c:lineChart>
        <c:grouping val="standard"/>
        <c:varyColors val="0"/>
        <c:ser>
          <c:idx val="1"/>
          <c:order val="1"/>
          <c:tx>
            <c:strRef>
              <c:f>Reps!$J$1</c:f>
            </c:strRef>
          </c:tx>
          <c:spPr>
            <a:ln w="28575" cap="rnd">
              <a:solidFill>
                <a:srgbClr val="ED7D31"/>
              </a:solidFill>
              <a:round/>
            </a:ln>
          </c:spPr>
          <c:marker>
            <c:symbol val="none"/>
          </c:marker>
          <c:cat>
            <c:strRef>
              <c:f>Reps!$H$2:$H$7</c:f>
            </c:strRef>
          </c:cat>
          <c:val>
            <c:numRef>
              <c:f>Reps!$J$2:$J$7</c:f>
            </c:numRef>
          </c:val>
          <c:smooth val="0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190500</xdr:colOff>
      <xdr:row>33</xdr:row>
      <xdr:rowOff>0</xdr:rowOff>
    </xdr:from>
    <xdr:to>
      <xdr:col>5</xdr:col>
      <xdr:colOff>190500</xdr:colOff>
      <xdr:row>45</xdr:row>
      <xdr:rowOff>114300</xdr:rowOff>
    </xdr:to>
    <xdr:graphicFrame macro="">
      <xdr:nvGraphicFramePr>
        <xdr:cNvPr id="2" name="Revenue by month and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6</xdr:col>
      <xdr:colOff>95250</xdr:colOff>
      <xdr:row>33</xdr:row>
      <xdr:rowOff>0</xdr:rowOff>
    </xdr:from>
    <xdr:to>
      <xdr:col>11</xdr:col>
      <xdr:colOff>666750</xdr:colOff>
      <xdr:row>45</xdr:row>
      <xdr:rowOff>114300</xdr:rowOff>
    </xdr:to>
    <xdr:graphicFrame macro="">
      <xdr:nvGraphicFramePr>
        <xdr:cNvPr id="3" name="Monthly revenue, stack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oneCell">
    <xdr:from>
      <xdr:col>11</xdr:col>
      <xdr:colOff>857250</xdr:colOff>
      <xdr:row>33</xdr:row>
      <xdr:rowOff>0</xdr:rowOff>
    </xdr:from>
    <xdr:to>
      <xdr:col>15</xdr:col>
      <xdr:colOff>895350</xdr:colOff>
      <xdr:row>45</xdr:row>
      <xdr:rowOff>114300</xdr:rowOff>
    </xdr:to>
    <xdr:graphicFrame macro="">
      <xdr:nvGraphicFramePr>
        <xdr:cNvPr id="4" name="Revenue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190500</xdr:colOff>
      <xdr:row>8</xdr:row>
      <xdr:rowOff>76200</xdr:rowOff>
    </xdr:from>
    <xdr:to>
      <xdr:col>5</xdr:col>
      <xdr:colOff>95250</xdr:colOff>
      <xdr:row>20</xdr:row>
      <xdr:rowOff>190500</xdr:rowOff>
    </xdr:to>
    <xdr:graphicFrame macro="">
      <xdr:nvGraphicFramePr>
        <xdr:cNvPr id="2" name="Sold against targe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Drawing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/>
  </sheetViews>
  <sheetFormatPr defaultRowHeight="18" outlineLevelRow="0" outlineLevelCol="0" x14ac:dyDescent="55" defaultColWidth="14.14" customHeight="1"/>
  <cols>
    <col min="1" max="1" width="16.43" customWidth="1"/>
    <col min="2" max="5" width="15" customWidth="1"/>
    <col min="6" max="6" width="3.57" customWidth="1"/>
    <col min="7" max="7" width="16.43" customWidth="1"/>
    <col min="8" max="8" width="15" customWidth="1"/>
    <col min="9" max="9" width="3.57" customWidth="1"/>
    <col min="10" max="10" width="17.86" customWidth="1"/>
    <col min="11" max="11" width="1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>
        <f>SUMIFS(Orders!I:I,Orders!L:L,"&lt;&gt;Returned")</f>
        <v>448677</v>
      </c>
      <c r="B5" s="5">
        <f>IFERROR(1-SUMIFS(Orders!J:J,Orders!L:L,"&lt;&gt;Returned")/A5,0)</f>
        <v>0.5770030556502785</v>
      </c>
      <c r="C5" s="6">
        <f>COUNTIFS(Orders!A:A,"SO-*",Orders!L:L,"&lt;&gt;Returned")</f>
        <v>228</v>
      </c>
      <c r="D5" s="4">
        <f>IFERROR(A5/C5,0)</f>
        <v>1967.8815789473683</v>
      </c>
      <c r="E5" s="6">
        <f>COUNTIFS(Orders!L:L,"Returned")</f>
        <v>12</v>
      </c>
    </row>
    <row r="8" spans="1:11" x14ac:dyDescent="0.2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G8" s="7" t="s">
        <v>12</v>
      </c>
      <c r="H8" s="7" t="s">
        <v>2</v>
      </c>
      <c r="J8" s="7" t="s">
        <v>13</v>
      </c>
      <c r="K8" s="7" t="s">
        <v>14</v>
      </c>
    </row>
    <row r="9" spans="1:11" x14ac:dyDescent="0.25">
      <c r="A9" s="8">
        <f>DATE(2026,1,1)</f>
        <v>46023</v>
      </c>
      <c r="B9" s="9">
        <f>SUMIFS(Orders!$I:$I,Orders!$C:$C,B$8,Orders!$B:$B,"&gt;="&amp;$A9,Orders!$B:$B,"&lt;"&amp;EDATE($A9,1))</f>
        <v>21597</v>
      </c>
      <c r="C9" s="9">
        <f>SUMIFS(Orders!$I:$I,Orders!$C:$C,C$8,Orders!$B:$B,"&gt;="&amp;$A9,Orders!$B:$B,"&lt;"&amp;EDATE($A9,1))</f>
        <v>4500</v>
      </c>
      <c r="D9" s="9">
        <f>SUMIFS(Orders!$I:$I,Orders!$C:$C,D$8,Orders!$B:$B,"&gt;="&amp;$A9,Orders!$B:$B,"&lt;"&amp;EDATE($A9,1))</f>
        <v>7679</v>
      </c>
      <c r="E9" s="9">
        <f>SUMIFS(Orders!$I:$I,Orders!$C:$C,E$8,Orders!$B:$B,"&gt;="&amp;$A9,Orders!$B:$B,"&lt;"&amp;EDATE($A9,1))</f>
        <v>14487</v>
      </c>
      <c r="G9" t="s">
        <v>15</v>
      </c>
      <c r="H9" s="9">
        <f>SUMIFS(Orders!$I:$I,Orders!$G:$G,G9)</f>
        <v>245539</v>
      </c>
      <c r="J9" t="str">
        <f t="array" ref="J9:J14">_xlfn.SORTBY(Reps!A2:A7,Reps!D2:D7,-1)</f>
        <v>Asha Rao</v>
      </c>
      <c r="K9" s="9">
        <f t="array" ref="K9:K14">_xlfn.SORTBY(Reps!D2:D7,Reps!D2:D7,-1)</f>
        <v>93973</v>
      </c>
    </row>
    <row r="10" spans="1:11" x14ac:dyDescent="0.25">
      <c r="A10" s="8">
        <f>DATE(2026,2,1)</f>
        <v>46054</v>
      </c>
      <c r="B10" s="9">
        <f>SUMIFS(Orders!$I:$I,Orders!$C:$C,B$8,Orders!$B:$B,"&gt;="&amp;$A10,Orders!$B:$B,"&lt;"&amp;EDATE($A10,1))</f>
        <v>8677</v>
      </c>
      <c r="C10" s="9">
        <f>SUMIFS(Orders!$I:$I,Orders!$C:$C,C$8,Orders!$B:$B,"&gt;="&amp;$A10,Orders!$B:$B,"&lt;"&amp;EDATE($A10,1))</f>
        <v>19782</v>
      </c>
      <c r="D10" s="9">
        <f>SUMIFS(Orders!$I:$I,Orders!$C:$C,D$8,Orders!$B:$B,"&gt;="&amp;$A10,Orders!$B:$B,"&lt;"&amp;EDATE($A10,1))</f>
        <v>0</v>
      </c>
      <c r="E10" s="9">
        <f>SUMIFS(Orders!$I:$I,Orders!$C:$C,E$8,Orders!$B:$B,"&gt;="&amp;$A10,Orders!$B:$B,"&lt;"&amp;EDATE($A10,1))</f>
        <v>11692</v>
      </c>
      <c r="G10" t="s">
        <v>16</v>
      </c>
      <c r="H10" s="9">
        <f>SUMIFS(Orders!$I:$I,Orders!$G:$G,G10)</f>
        <v>103505</v>
      </c>
      <c r="J10" t="s">
        <v>17</v>
      </c>
      <c r="K10" s="9">
        <v>81362</v>
      </c>
    </row>
    <row r="11" spans="1:11" x14ac:dyDescent="0.25">
      <c r="A11" s="8">
        <f>DATE(2026,3,1)</f>
        <v>46082</v>
      </c>
      <c r="B11" s="9">
        <f>SUMIFS(Orders!$I:$I,Orders!$C:$C,B$8,Orders!$B:$B,"&gt;="&amp;$A11,Orders!$B:$B,"&lt;"&amp;EDATE($A11,1))</f>
        <v>15212</v>
      </c>
      <c r="C11" s="9">
        <f>SUMIFS(Orders!$I:$I,Orders!$C:$C,C$8,Orders!$B:$B,"&gt;="&amp;$A11,Orders!$B:$B,"&lt;"&amp;EDATE($A11,1))</f>
        <v>900</v>
      </c>
      <c r="D11" s="9">
        <f>SUMIFS(Orders!$I:$I,Orders!$C:$C,D$8,Orders!$B:$B,"&gt;="&amp;$A11,Orders!$B:$B,"&lt;"&amp;EDATE($A11,1))</f>
        <v>3600</v>
      </c>
      <c r="E11" s="9">
        <f>SUMIFS(Orders!$I:$I,Orders!$C:$C,E$8,Orders!$B:$B,"&gt;="&amp;$A11,Orders!$B:$B,"&lt;"&amp;EDATE($A11,1))</f>
        <v>14983</v>
      </c>
      <c r="G11" t="s">
        <v>18</v>
      </c>
      <c r="H11" s="9">
        <f>SUMIFS(Orders!$I:$I,Orders!$G:$G,G11)</f>
        <v>123300</v>
      </c>
      <c r="J11" t="s">
        <v>19</v>
      </c>
      <c r="K11" s="9">
        <v>77985</v>
      </c>
    </row>
    <row r="12" spans="1:11" x14ac:dyDescent="0.25">
      <c r="A12" s="8">
        <f>DATE(2026,4,1)</f>
        <v>46113</v>
      </c>
      <c r="B12" s="9">
        <f>SUMIFS(Orders!$I:$I,Orders!$C:$C,B$8,Orders!$B:$B,"&gt;="&amp;$A12,Orders!$B:$B,"&lt;"&amp;EDATE($A12,1))</f>
        <v>13152</v>
      </c>
      <c r="C12" s="9">
        <f>SUMIFS(Orders!$I:$I,Orders!$C:$C,C$8,Orders!$B:$B,"&gt;="&amp;$A12,Orders!$B:$B,"&lt;"&amp;EDATE($A12,1))</f>
        <v>8663</v>
      </c>
      <c r="D12" s="9">
        <f>SUMIFS(Orders!$I:$I,Orders!$C:$C,D$8,Orders!$B:$B,"&gt;="&amp;$A12,Orders!$B:$B,"&lt;"&amp;EDATE($A12,1))</f>
        <v>11443</v>
      </c>
      <c r="E12" s="9">
        <f>SUMIFS(Orders!$I:$I,Orders!$C:$C,E$8,Orders!$B:$B,"&gt;="&amp;$A12,Orders!$B:$B,"&lt;"&amp;EDATE($A12,1))</f>
        <v>6690</v>
      </c>
      <c r="J12" t="s">
        <v>20</v>
      </c>
      <c r="K12" s="9">
        <v>75889</v>
      </c>
    </row>
    <row r="13" spans="1:11" x14ac:dyDescent="0.25">
      <c r="A13" s="8">
        <f>DATE(2026,5,1)</f>
        <v>46143</v>
      </c>
      <c r="B13" s="9">
        <f>SUMIFS(Orders!$I:$I,Orders!$C:$C,B$8,Orders!$B:$B,"&gt;="&amp;$A13,Orders!$B:$B,"&lt;"&amp;EDATE($A13,1))</f>
        <v>14139</v>
      </c>
      <c r="C13" s="9">
        <f>SUMIFS(Orders!$I:$I,Orders!$C:$C,C$8,Orders!$B:$B,"&gt;="&amp;$A13,Orders!$B:$B,"&lt;"&amp;EDATE($A13,1))</f>
        <v>2400</v>
      </c>
      <c r="D13" s="9">
        <f>SUMIFS(Orders!$I:$I,Orders!$C:$C,D$8,Orders!$B:$B,"&gt;="&amp;$A13,Orders!$B:$B,"&lt;"&amp;EDATE($A13,1))</f>
        <v>9203</v>
      </c>
      <c r="E13" s="9">
        <f>SUMIFS(Orders!$I:$I,Orders!$C:$C,E$8,Orders!$B:$B,"&gt;="&amp;$A13,Orders!$B:$B,"&lt;"&amp;EDATE($A13,1))</f>
        <v>10559</v>
      </c>
      <c r="J13" t="s">
        <v>21</v>
      </c>
      <c r="K13" s="9">
        <v>73015</v>
      </c>
    </row>
    <row r="14" spans="1:11" x14ac:dyDescent="0.25">
      <c r="A14" s="8">
        <f>DATE(2026,6,1)</f>
        <v>46174</v>
      </c>
      <c r="B14" s="9">
        <f>SUMIFS(Orders!$I:$I,Orders!$C:$C,B$8,Orders!$B:$B,"&gt;="&amp;$A14,Orders!$B:$B,"&lt;"&amp;EDATE($A14,1))</f>
        <v>7179</v>
      </c>
      <c r="C14" s="9">
        <f>SUMIFS(Orders!$I:$I,Orders!$C:$C,C$8,Orders!$B:$B,"&gt;="&amp;$A14,Orders!$B:$B,"&lt;"&amp;EDATE($A14,1))</f>
        <v>6080</v>
      </c>
      <c r="D14" s="9">
        <f>SUMIFS(Orders!$I:$I,Orders!$C:$C,D$8,Orders!$B:$B,"&gt;="&amp;$A14,Orders!$B:$B,"&lt;"&amp;EDATE($A14,1))</f>
        <v>7114</v>
      </c>
      <c r="E14" s="9">
        <f>SUMIFS(Orders!$I:$I,Orders!$C:$C,E$8,Orders!$B:$B,"&gt;="&amp;$A14,Orders!$B:$B,"&lt;"&amp;EDATE($A14,1))</f>
        <v>11444</v>
      </c>
      <c r="G14" s="10" t="s">
        <v>22</v>
      </c>
      <c r="H14" t="str">
        <f>INDEX(Products!B2:B8,MATCH(MAX(Products!G2:G8),Products!G2:G8,0))</f>
        <v>Gadget</v>
      </c>
      <c r="J14" t="s">
        <v>23</v>
      </c>
      <c r="K14" s="9">
        <v>70120</v>
      </c>
    </row>
    <row r="15" spans="1:5" x14ac:dyDescent="0.25">
      <c r="A15" s="8">
        <f>DATE(2026,7,1)</f>
        <v>46204</v>
      </c>
      <c r="B15" s="9">
        <f>SUMIFS(Orders!$I:$I,Orders!$C:$C,B$8,Orders!$B:$B,"&gt;="&amp;$A15,Orders!$B:$B,"&lt;"&amp;EDATE($A15,1))</f>
        <v>18896</v>
      </c>
      <c r="C15" s="9">
        <f>SUMIFS(Orders!$I:$I,Orders!$C:$C,C$8,Orders!$B:$B,"&gt;="&amp;$A15,Orders!$B:$B,"&lt;"&amp;EDATE($A15,1))</f>
        <v>6705</v>
      </c>
      <c r="D15" s="9">
        <f>SUMIFS(Orders!$I:$I,Orders!$C:$C,D$8,Orders!$B:$B,"&gt;="&amp;$A15,Orders!$B:$B,"&lt;"&amp;EDATE($A15,1))</f>
        <v>3741</v>
      </c>
      <c r="E15" s="9">
        <f>SUMIFS(Orders!$I:$I,Orders!$C:$C,E$8,Orders!$B:$B,"&gt;="&amp;$A15,Orders!$B:$B,"&lt;"&amp;EDATE($A15,1))</f>
        <v>6204</v>
      </c>
    </row>
    <row r="16" spans="1:5" x14ac:dyDescent="0.25">
      <c r="A16" s="8">
        <f>DATE(2026,8,1)</f>
        <v>46235</v>
      </c>
      <c r="B16" s="9">
        <f>SUMIFS(Orders!$I:$I,Orders!$C:$C,B$8,Orders!$B:$B,"&gt;="&amp;$A16,Orders!$B:$B,"&lt;"&amp;EDATE($A16,1))</f>
        <v>11972</v>
      </c>
      <c r="C16" s="9">
        <f>SUMIFS(Orders!$I:$I,Orders!$C:$C,C$8,Orders!$B:$B,"&gt;="&amp;$A16,Orders!$B:$B,"&lt;"&amp;EDATE($A16,1))</f>
        <v>15471</v>
      </c>
      <c r="D16" s="9">
        <f>SUMIFS(Orders!$I:$I,Orders!$C:$C,D$8,Orders!$B:$B,"&gt;="&amp;$A16,Orders!$B:$B,"&lt;"&amp;EDATE($A16,1))</f>
        <v>0</v>
      </c>
      <c r="E16" s="9">
        <f>SUMIFS(Orders!$I:$I,Orders!$C:$C,E$8,Orders!$B:$B,"&gt;="&amp;$A16,Orders!$B:$B,"&lt;"&amp;EDATE($A16,1))</f>
        <v>17016</v>
      </c>
    </row>
    <row r="17" spans="1:10" x14ac:dyDescent="0.25">
      <c r="A17" s="8">
        <f>DATE(2026,9,1)</f>
        <v>46266</v>
      </c>
      <c r="B17" s="9">
        <f>SUMIFS(Orders!$I:$I,Orders!$C:$C,B$8,Orders!$B:$B,"&gt;="&amp;$A17,Orders!$B:$B,"&lt;"&amp;EDATE($A17,1))</f>
        <v>10902</v>
      </c>
      <c r="C17" s="9">
        <f>SUMIFS(Orders!$I:$I,Orders!$C:$C,C$8,Orders!$B:$B,"&gt;="&amp;$A17,Orders!$B:$B,"&lt;"&amp;EDATE($A17,1))</f>
        <v>2832</v>
      </c>
      <c r="D17" s="9">
        <f>SUMIFS(Orders!$I:$I,Orders!$C:$C,D$8,Orders!$B:$B,"&gt;="&amp;$A17,Orders!$B:$B,"&lt;"&amp;EDATE($A17,1))</f>
        <v>11226</v>
      </c>
      <c r="E17" s="9">
        <f>SUMIFS(Orders!$I:$I,Orders!$C:$C,E$8,Orders!$B:$B,"&gt;="&amp;$A17,Orders!$B:$B,"&lt;"&amp;EDATE($A17,1))</f>
        <v>15905</v>
      </c>
      <c r="J17" s="7" t="s">
        <v>24</v>
      </c>
    </row>
    <row r="18" spans="1:10" x14ac:dyDescent="0.25">
      <c r="A18" s="8">
        <f>DATE(2026,10,1)</f>
        <v>46296</v>
      </c>
      <c r="B18" s="9">
        <f>SUMIFS(Orders!$I:$I,Orders!$C:$C,B$8,Orders!$B:$B,"&gt;="&amp;$A18,Orders!$B:$B,"&lt;"&amp;EDATE($A18,1))</f>
        <v>14037</v>
      </c>
      <c r="C18" s="9">
        <f>SUMIFS(Orders!$I:$I,Orders!$C:$C,C$8,Orders!$B:$B,"&gt;="&amp;$A18,Orders!$B:$B,"&lt;"&amp;EDATE($A18,1))</f>
        <v>3938</v>
      </c>
      <c r="D18" s="9">
        <f>SUMIFS(Orders!$I:$I,Orders!$C:$C,D$8,Orders!$B:$B,"&gt;="&amp;$A18,Orders!$B:$B,"&lt;"&amp;EDATE($A18,1))</f>
        <v>4371</v>
      </c>
      <c r="E18" s="9">
        <f>SUMIFS(Orders!$I:$I,Orders!$C:$C,E$8,Orders!$B:$B,"&gt;="&amp;$A18,Orders!$B:$B,"&lt;"&amp;EDATE($A18,1))</f>
        <v>19347</v>
      </c>
      <c r="J18" t="str">
        <f t="array" ref="J18:J30">_xlfn._xlws.FILTER(Orders!A2:A241,(Orders!L2:L241="Open")*(Orders!I2:I241&gt;3000),"None")</f>
        <v>SO-10089</v>
      </c>
    </row>
    <row r="19" spans="1:10" x14ac:dyDescent="0.25">
      <c r="A19" s="8">
        <f>DATE(2026,11,1)</f>
        <v>46327</v>
      </c>
      <c r="B19" s="9">
        <f>SUMIFS(Orders!$I:$I,Orders!$C:$C,B$8,Orders!$B:$B,"&gt;="&amp;$A19,Orders!$B:$B,"&lt;"&amp;EDATE($A19,1))</f>
        <v>11595</v>
      </c>
      <c r="C19" s="9">
        <f>SUMIFS(Orders!$I:$I,Orders!$C:$C,C$8,Orders!$B:$B,"&gt;="&amp;$A19,Orders!$B:$B,"&lt;"&amp;EDATE($A19,1))</f>
        <v>605</v>
      </c>
      <c r="D19" s="9">
        <f>SUMIFS(Orders!$I:$I,Orders!$C:$C,D$8,Orders!$B:$B,"&gt;="&amp;$A19,Orders!$B:$B,"&lt;"&amp;EDATE($A19,1))</f>
        <v>8225</v>
      </c>
      <c r="E19" s="9">
        <f>SUMIFS(Orders!$I:$I,Orders!$C:$C,E$8,Orders!$B:$B,"&gt;="&amp;$A19,Orders!$B:$B,"&lt;"&amp;EDATE($A19,1))</f>
        <v>13375</v>
      </c>
      <c r="J19" t="s">
        <v>25</v>
      </c>
    </row>
    <row r="20" spans="1:10" x14ac:dyDescent="0.25">
      <c r="A20" s="8">
        <f>DATE(2026,12,1)</f>
        <v>46357</v>
      </c>
      <c r="B20" s="9">
        <f>SUMIFS(Orders!$I:$I,Orders!$C:$C,B$8,Orders!$B:$B,"&gt;="&amp;$A20,Orders!$B:$B,"&lt;"&amp;EDATE($A20,1))</f>
        <v>16735</v>
      </c>
      <c r="C20" s="9">
        <f>SUMIFS(Orders!$I:$I,Orders!$C:$C,C$8,Orders!$B:$B,"&gt;="&amp;$A20,Orders!$B:$B,"&lt;"&amp;EDATE($A20,1))</f>
        <v>9486</v>
      </c>
      <c r="D20" s="9">
        <f>SUMIFS(Orders!$I:$I,Orders!$C:$C,D$8,Orders!$B:$B,"&gt;="&amp;$A20,Orders!$B:$B,"&lt;"&amp;EDATE($A20,1))</f>
        <v>6413</v>
      </c>
      <c r="E20" s="9">
        <f>SUMIFS(Orders!$I:$I,Orders!$C:$C,E$8,Orders!$B:$B,"&gt;="&amp;$A20,Orders!$B:$B,"&lt;"&amp;EDATE($A20,1))</f>
        <v>12172</v>
      </c>
      <c r="J20" t="s">
        <v>26</v>
      </c>
    </row>
    <row r="21" spans="10:10" x14ac:dyDescent="0.25">
      <c r="J21" t="s">
        <v>27</v>
      </c>
    </row>
    <row r="22" spans="10:10" x14ac:dyDescent="0.25">
      <c r="J22" t="s">
        <v>28</v>
      </c>
    </row>
    <row r="23" spans="10:10" x14ac:dyDescent="0.25">
      <c r="J23" t="s">
        <v>29</v>
      </c>
    </row>
    <row r="24" spans="10:10" x14ac:dyDescent="0.25">
      <c r="J24" t="s">
        <v>30</v>
      </c>
    </row>
    <row r="25" spans="10:10" x14ac:dyDescent="0.25">
      <c r="J25" t="s">
        <v>31</v>
      </c>
    </row>
    <row r="26" spans="10:10" x14ac:dyDescent="0.25">
      <c r="J26" t="s">
        <v>32</v>
      </c>
    </row>
    <row r="27" spans="10:10" x14ac:dyDescent="0.25">
      <c r="J27" t="s">
        <v>33</v>
      </c>
    </row>
    <row r="28" spans="10:10" x14ac:dyDescent="0.25">
      <c r="J28" t="s">
        <v>34</v>
      </c>
    </row>
    <row r="29" spans="10:10" x14ac:dyDescent="0.25">
      <c r="J29" t="s">
        <v>35</v>
      </c>
    </row>
    <row r="30" spans="10:10" x14ac:dyDescent="0.25">
      <c r="J30" t="s">
        <v>36</v>
      </c>
    </row>
  </sheetData>
  <conditionalFormatting sqref="B9:E20">
    <cfRule type="colorScale" priority="1">
      <colorScale>
        <cfvo type="min"/>
        <cfvo type="max"/>
        <color rgb="FFFFFFFF"/>
        <color rgb="FF63BE7B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  <drawing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defaultColWidth="14.14" customHeight="1"/>
  <cols>
    <col min="1" max="1" width="10.71" customWidth="1"/>
    <col min="2" max="2" width="13.57" customWidth="1"/>
    <col min="3" max="3" width="10.71" customWidth="1"/>
    <col min="4" max="4" width="16.43" customWidth="1"/>
    <col min="5" max="5" width="9.29" customWidth="1"/>
    <col min="6" max="6" width="17.86" customWidth="1"/>
    <col min="7" max="7" width="13.57" customWidth="1"/>
    <col min="8" max="8" width="7.86" customWidth="1"/>
    <col min="9" max="10" width="13.57" customWidth="1"/>
    <col min="11" max="11" width="10.71" customWidth="1"/>
    <col min="12" max="12" width="12.14" customWidth="1"/>
  </cols>
  <sheetData>
    <row r="1" spans="1:12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12</v>
      </c>
      <c r="H1" s="7" t="s">
        <v>43</v>
      </c>
      <c r="I1" s="7" t="s">
        <v>2</v>
      </c>
      <c r="J1" s="7" t="s">
        <v>44</v>
      </c>
      <c r="K1" s="7" t="s">
        <v>45</v>
      </c>
      <c r="L1" s="7" t="s">
        <v>46</v>
      </c>
    </row>
    <row r="2" spans="1:12" x14ac:dyDescent="0.25">
      <c r="A2" t="s">
        <v>47</v>
      </c>
      <c r="B2" s="11">
        <v>46024</v>
      </c>
      <c r="C2" t="s">
        <v>8</v>
      </c>
      <c r="D2" t="s">
        <v>48</v>
      </c>
      <c r="E2" t="s">
        <v>49</v>
      </c>
      <c r="F2" t="str">
        <f>_xlfn.XLOOKUP(E2,Products!$A:$A,Products!$B:$B,"?")</f>
        <v>Widget</v>
      </c>
      <c r="G2" t="str">
        <f>_xlfn.XLOOKUP(E2,Products!$A:$A,Products!$C:$C,"?")</f>
        <v>Hardware</v>
      </c>
      <c r="H2">
        <v>58</v>
      </c>
      <c r="I2" s="12">
        <f>H2*_xlfn.XLOOKUP(E2,Products!$A:$A,Products!$D:$D,0)</f>
        <v>1392</v>
      </c>
      <c r="J2" s="12">
        <f>H2*_xlfn.XLOOKUP(E2,Products!$A:$A,Products!$E:$E,0)</f>
        <v>638</v>
      </c>
      <c r="K2" s="13">
        <f>IFERROR((I2-J2)/I2,0)</f>
        <v>0.5416666666666666</v>
      </c>
      <c r="L2" t="s">
        <v>50</v>
      </c>
    </row>
    <row r="3" spans="1:12" x14ac:dyDescent="0.25">
      <c r="A3" t="s">
        <v>51</v>
      </c>
      <c r="B3" s="11">
        <v>46027</v>
      </c>
      <c r="C3" t="s">
        <v>11</v>
      </c>
      <c r="D3" t="s">
        <v>20</v>
      </c>
      <c r="E3" t="s">
        <v>52</v>
      </c>
      <c r="F3" t="str">
        <f>_xlfn.XLOOKUP(E3,Products!$A:$A,Products!$B:$B,"?")</f>
        <v>Setup</v>
      </c>
      <c r="G3" t="str">
        <f>_xlfn.XLOOKUP(E3,Products!$A:$A,Products!$C:$C,"?")</f>
        <v>Services</v>
      </c>
      <c r="H3">
        <v>3</v>
      </c>
      <c r="I3" s="12">
        <f>H3*_xlfn.XLOOKUP(E3,Products!$A:$A,Products!$D:$D,0)</f>
        <v>1350</v>
      </c>
      <c r="J3" s="12">
        <f>H3*_xlfn.XLOOKUP(E3,Products!$A:$A,Products!$E:$E,0)</f>
        <v>780</v>
      </c>
      <c r="K3" s="13">
        <f>IFERROR((I3-J3)/I3,0)</f>
        <v>0.4222222222222222</v>
      </c>
      <c r="L3" t="s">
        <v>6</v>
      </c>
    </row>
    <row r="4" spans="1:12" x14ac:dyDescent="0.25">
      <c r="A4" t="s">
        <v>53</v>
      </c>
      <c r="B4" s="11">
        <v>46030</v>
      </c>
      <c r="C4" t="s">
        <v>9</v>
      </c>
      <c r="D4" t="s">
        <v>17</v>
      </c>
      <c r="E4" t="s">
        <v>52</v>
      </c>
      <c r="F4" t="str">
        <f>_xlfn.XLOOKUP(E4,Products!$A:$A,Products!$B:$B,"?")</f>
        <v>Setup</v>
      </c>
      <c r="G4" t="str">
        <f>_xlfn.XLOOKUP(E4,Products!$A:$A,Products!$C:$C,"?")</f>
        <v>Services</v>
      </c>
      <c r="H4">
        <v>2</v>
      </c>
      <c r="I4" s="12">
        <f>H4*_xlfn.XLOOKUP(E4,Products!$A:$A,Products!$D:$D,0)</f>
        <v>900</v>
      </c>
      <c r="J4" s="12">
        <f>H4*_xlfn.XLOOKUP(E4,Products!$A:$A,Products!$E:$E,0)</f>
        <v>520</v>
      </c>
      <c r="K4" s="13">
        <f>IFERROR((I4-J4)/I4,0)</f>
        <v>0.4222222222222222</v>
      </c>
      <c r="L4" t="s">
        <v>50</v>
      </c>
    </row>
    <row r="5" spans="1:12" x14ac:dyDescent="0.25">
      <c r="A5" t="s">
        <v>54</v>
      </c>
      <c r="B5" s="11">
        <v>46030</v>
      </c>
      <c r="C5" t="s">
        <v>8</v>
      </c>
      <c r="D5" t="s">
        <v>48</v>
      </c>
      <c r="E5" t="s">
        <v>55</v>
      </c>
      <c r="F5" t="str">
        <f>_xlfn.XLOOKUP(E5,Products!$A:$A,Products!$B:$B,"?")</f>
        <v>Gadget</v>
      </c>
      <c r="G5" t="str">
        <f>_xlfn.XLOOKUP(E5,Products!$A:$A,Products!$C:$C,"?")</f>
        <v>Hardware</v>
      </c>
      <c r="H5">
        <v>58</v>
      </c>
      <c r="I5" s="12">
        <f>H5*_xlfn.XLOOKUP(E5,Products!$A:$A,Products!$D:$D,0)</f>
        <v>5162</v>
      </c>
      <c r="J5" s="12">
        <f>H5*_xlfn.XLOOKUP(E5,Products!$A:$A,Products!$E:$E,0)</f>
        <v>2726</v>
      </c>
      <c r="K5" s="13">
        <f>IFERROR((I5-J5)/I5,0)</f>
        <v>0.47191011235955055</v>
      </c>
      <c r="L5" t="s">
        <v>50</v>
      </c>
    </row>
    <row r="6" spans="1:12" x14ac:dyDescent="0.25">
      <c r="A6" t="s">
        <v>56</v>
      </c>
      <c r="B6" s="11">
        <v>46033</v>
      </c>
      <c r="C6" t="s">
        <v>11</v>
      </c>
      <c r="D6" t="s">
        <v>20</v>
      </c>
      <c r="E6" t="s">
        <v>57</v>
      </c>
      <c r="F6" t="str">
        <f>_xlfn.XLOOKUP(E6,Products!$A:$A,Products!$B:$B,"?")</f>
        <v>Training day</v>
      </c>
      <c r="G6" t="str">
        <f>_xlfn.XLOOKUP(E6,Products!$A:$A,Products!$C:$C,"?")</f>
        <v>Services</v>
      </c>
      <c r="H6">
        <v>1</v>
      </c>
      <c r="I6" s="12">
        <f>H6*_xlfn.XLOOKUP(E6,Products!$A:$A,Products!$D:$D,0)</f>
        <v>1200</v>
      </c>
      <c r="J6" s="12">
        <f>H6*_xlfn.XLOOKUP(E6,Products!$A:$A,Products!$E:$E,0)</f>
        <v>640</v>
      </c>
      <c r="K6" s="13">
        <f>IFERROR((I6-J6)/I6,0)</f>
        <v>0.4666666666666667</v>
      </c>
      <c r="L6" t="s">
        <v>58</v>
      </c>
    </row>
    <row r="7" spans="1:12" x14ac:dyDescent="0.25">
      <c r="A7" t="s">
        <v>59</v>
      </c>
      <c r="B7" s="11">
        <v>46031</v>
      </c>
      <c r="C7" t="s">
        <v>8</v>
      </c>
      <c r="D7" t="s">
        <v>23</v>
      </c>
      <c r="E7" t="s">
        <v>52</v>
      </c>
      <c r="F7" t="str">
        <f>_xlfn.XLOOKUP(E7,Products!$A:$A,Products!$B:$B,"?")</f>
        <v>Setup</v>
      </c>
      <c r="G7" t="str">
        <f>_xlfn.XLOOKUP(E7,Products!$A:$A,Products!$C:$C,"?")</f>
        <v>Services</v>
      </c>
      <c r="H7">
        <v>1</v>
      </c>
      <c r="I7" s="12">
        <f>H7*_xlfn.XLOOKUP(E7,Products!$A:$A,Products!$D:$D,0)</f>
        <v>450</v>
      </c>
      <c r="J7" s="12">
        <f>H7*_xlfn.XLOOKUP(E7,Products!$A:$A,Products!$E:$E,0)</f>
        <v>260</v>
      </c>
      <c r="K7" s="13">
        <f>IFERROR((I7-J7)/I7,0)</f>
        <v>0.4222222222222222</v>
      </c>
      <c r="L7" t="s">
        <v>58</v>
      </c>
    </row>
    <row r="8" spans="1:12" x14ac:dyDescent="0.25">
      <c r="A8" t="s">
        <v>60</v>
      </c>
      <c r="B8" s="11">
        <v>46037</v>
      </c>
      <c r="C8" t="s">
        <v>8</v>
      </c>
      <c r="D8" t="s">
        <v>48</v>
      </c>
      <c r="E8" t="s">
        <v>49</v>
      </c>
      <c r="F8" t="str">
        <f>_xlfn.XLOOKUP(E8,Products!$A:$A,Products!$B:$B,"?")</f>
        <v>Widget</v>
      </c>
      <c r="G8" t="str">
        <f>_xlfn.XLOOKUP(E8,Products!$A:$A,Products!$C:$C,"?")</f>
        <v>Hardware</v>
      </c>
      <c r="H8">
        <v>23</v>
      </c>
      <c r="I8" s="12">
        <f>H8*_xlfn.XLOOKUP(E8,Products!$A:$A,Products!$D:$D,0)</f>
        <v>552</v>
      </c>
      <c r="J8" s="12">
        <f>H8*_xlfn.XLOOKUP(E8,Products!$A:$A,Products!$E:$E,0)</f>
        <v>253</v>
      </c>
      <c r="K8" s="13">
        <f>IFERROR((I8-J8)/I8,0)</f>
        <v>0.5416666666666666</v>
      </c>
      <c r="L8" t="s">
        <v>50</v>
      </c>
    </row>
    <row r="9" spans="1:12" x14ac:dyDescent="0.25">
      <c r="A9" t="s">
        <v>61</v>
      </c>
      <c r="B9" s="11">
        <v>46034</v>
      </c>
      <c r="C9" t="s">
        <v>10</v>
      </c>
      <c r="D9" t="s">
        <v>21</v>
      </c>
      <c r="E9" t="s">
        <v>55</v>
      </c>
      <c r="F9" t="str">
        <f>_xlfn.XLOOKUP(E9,Products!$A:$A,Products!$B:$B,"?")</f>
        <v>Gadget</v>
      </c>
      <c r="G9" t="str">
        <f>_xlfn.XLOOKUP(E9,Products!$A:$A,Products!$C:$C,"?")</f>
        <v>Hardware</v>
      </c>
      <c r="H9">
        <v>56</v>
      </c>
      <c r="I9" s="12">
        <f>H9*_xlfn.XLOOKUP(E9,Products!$A:$A,Products!$D:$D,0)</f>
        <v>4984</v>
      </c>
      <c r="J9" s="12">
        <f>H9*_xlfn.XLOOKUP(E9,Products!$A:$A,Products!$E:$E,0)</f>
        <v>2632</v>
      </c>
      <c r="K9" s="13">
        <f>IFERROR((I9-J9)/I9,0)</f>
        <v>0.47191011235955055</v>
      </c>
      <c r="L9" t="s">
        <v>50</v>
      </c>
    </row>
    <row r="10" spans="1:12" x14ac:dyDescent="0.25">
      <c r="A10" t="s">
        <v>62</v>
      </c>
      <c r="B10" s="11">
        <v>46047</v>
      </c>
      <c r="C10" t="s">
        <v>11</v>
      </c>
      <c r="D10" t="s">
        <v>20</v>
      </c>
      <c r="E10" t="s">
        <v>52</v>
      </c>
      <c r="F10" t="str">
        <f>_xlfn.XLOOKUP(E10,Products!$A:$A,Products!$B:$B,"?")</f>
        <v>Setup</v>
      </c>
      <c r="G10" t="str">
        <f>_xlfn.XLOOKUP(E10,Products!$A:$A,Products!$C:$C,"?")</f>
        <v>Services</v>
      </c>
      <c r="H10">
        <v>3</v>
      </c>
      <c r="I10" s="12">
        <f>H10*_xlfn.XLOOKUP(E10,Products!$A:$A,Products!$D:$D,0)</f>
        <v>1350</v>
      </c>
      <c r="J10" s="12">
        <f>H10*_xlfn.XLOOKUP(E10,Products!$A:$A,Products!$E:$E,0)</f>
        <v>780</v>
      </c>
      <c r="K10" s="13">
        <f>IFERROR((I10-J10)/I10,0)</f>
        <v>0.4222222222222222</v>
      </c>
      <c r="L10" t="s">
        <v>58</v>
      </c>
    </row>
    <row r="11" spans="1:12" x14ac:dyDescent="0.25">
      <c r="A11" t="s">
        <v>63</v>
      </c>
      <c r="B11" s="11">
        <v>46039</v>
      </c>
      <c r="C11" t="s">
        <v>8</v>
      </c>
      <c r="D11" t="s">
        <v>48</v>
      </c>
      <c r="E11" t="s">
        <v>49</v>
      </c>
      <c r="F11" t="str">
        <f>_xlfn.XLOOKUP(E11,Products!$A:$A,Products!$B:$B,"?")</f>
        <v>Widget</v>
      </c>
      <c r="G11" t="str">
        <f>_xlfn.XLOOKUP(E11,Products!$A:$A,Products!$C:$C,"?")</f>
        <v>Hardware</v>
      </c>
      <c r="H11">
        <v>73</v>
      </c>
      <c r="I11" s="12">
        <f>H11*_xlfn.XLOOKUP(E11,Products!$A:$A,Products!$D:$D,0)</f>
        <v>1752</v>
      </c>
      <c r="J11" s="12">
        <f>H11*_xlfn.XLOOKUP(E11,Products!$A:$A,Products!$E:$E,0)</f>
        <v>803</v>
      </c>
      <c r="K11" s="13">
        <f>IFERROR((I11-J11)/I11,0)</f>
        <v>0.5416666666666666</v>
      </c>
      <c r="L11" t="s">
        <v>50</v>
      </c>
    </row>
    <row r="12" spans="1:12" x14ac:dyDescent="0.25">
      <c r="A12" t="s">
        <v>64</v>
      </c>
      <c r="B12" s="11">
        <v>46043</v>
      </c>
      <c r="C12" t="s">
        <v>11</v>
      </c>
      <c r="D12" t="s">
        <v>20</v>
      </c>
      <c r="E12" t="s">
        <v>57</v>
      </c>
      <c r="F12" t="str">
        <f>_xlfn.XLOOKUP(E12,Products!$A:$A,Products!$B:$B,"?")</f>
        <v>Training day</v>
      </c>
      <c r="G12" t="str">
        <f>_xlfn.XLOOKUP(E12,Products!$A:$A,Products!$C:$C,"?")</f>
        <v>Services</v>
      </c>
      <c r="H12">
        <v>1</v>
      </c>
      <c r="I12" s="12">
        <f>H12*_xlfn.XLOOKUP(E12,Products!$A:$A,Products!$D:$D,0)</f>
        <v>1200</v>
      </c>
      <c r="J12" s="12">
        <f>H12*_xlfn.XLOOKUP(E12,Products!$A:$A,Products!$E:$E,0)</f>
        <v>640</v>
      </c>
      <c r="K12" s="13">
        <f>IFERROR((I12-J12)/I12,0)</f>
        <v>0.4666666666666667</v>
      </c>
      <c r="L12" t="s">
        <v>58</v>
      </c>
    </row>
    <row r="13" spans="1:12" x14ac:dyDescent="0.25">
      <c r="A13" t="s">
        <v>65</v>
      </c>
      <c r="B13" s="11">
        <v>46034</v>
      </c>
      <c r="C13" t="s">
        <v>11</v>
      </c>
      <c r="D13" t="s">
        <v>19</v>
      </c>
      <c r="E13" t="s">
        <v>66</v>
      </c>
      <c r="F13" t="str">
        <f>_xlfn.XLOOKUP(E13,Products!$A:$A,Products!$B:$B,"?")</f>
        <v>Cloud Seat Plus</v>
      </c>
      <c r="G13" t="str">
        <f>_xlfn.XLOOKUP(E13,Products!$A:$A,Products!$C:$C,"?")</f>
        <v>Software</v>
      </c>
      <c r="H13">
        <v>28</v>
      </c>
      <c r="I13" s="12">
        <f>H13*_xlfn.XLOOKUP(E13,Products!$A:$A,Products!$D:$D,0)</f>
        <v>1540</v>
      </c>
      <c r="J13" s="12">
        <f>H13*_xlfn.XLOOKUP(E13,Products!$A:$A,Products!$E:$E,0)</f>
        <v>196</v>
      </c>
      <c r="K13" s="13">
        <f>IFERROR((I13-J13)/I13,0)</f>
        <v>0.8727272727272727</v>
      </c>
      <c r="L13" t="s">
        <v>50</v>
      </c>
    </row>
    <row r="14" spans="1:12" x14ac:dyDescent="0.25">
      <c r="A14" t="s">
        <v>67</v>
      </c>
      <c r="B14" s="11">
        <v>46029</v>
      </c>
      <c r="C14" t="s">
        <v>10</v>
      </c>
      <c r="D14" t="s">
        <v>21</v>
      </c>
      <c r="E14" t="s">
        <v>68</v>
      </c>
      <c r="F14" t="str">
        <f>_xlfn.XLOOKUP(E14,Products!$A:$A,Products!$B:$B,"?")</f>
        <v>Widget Pro</v>
      </c>
      <c r="G14" t="str">
        <f>_xlfn.XLOOKUP(E14,Products!$A:$A,Products!$C:$C,"?")</f>
        <v>Hardware</v>
      </c>
      <c r="H14">
        <v>55</v>
      </c>
      <c r="I14" s="12">
        <f>H14*_xlfn.XLOOKUP(E14,Products!$A:$A,Products!$D:$D,0)</f>
        <v>2695</v>
      </c>
      <c r="J14" s="12">
        <f>H14*_xlfn.XLOOKUP(E14,Products!$A:$A,Products!$E:$E,0)</f>
        <v>1210</v>
      </c>
      <c r="K14" s="13">
        <f>IFERROR((I14-J14)/I14,0)</f>
        <v>0.5510204081632653</v>
      </c>
      <c r="L14" t="s">
        <v>50</v>
      </c>
    </row>
    <row r="15" spans="1:12" x14ac:dyDescent="0.25">
      <c r="A15" t="s">
        <v>69</v>
      </c>
      <c r="B15" s="11">
        <v>46034</v>
      </c>
      <c r="C15" t="s">
        <v>11</v>
      </c>
      <c r="D15" t="s">
        <v>19</v>
      </c>
      <c r="E15" t="s">
        <v>57</v>
      </c>
      <c r="F15" t="str">
        <f>_xlfn.XLOOKUP(E15,Products!$A:$A,Products!$B:$B,"?")</f>
        <v>Training day</v>
      </c>
      <c r="G15" t="str">
        <f>_xlfn.XLOOKUP(E15,Products!$A:$A,Products!$C:$C,"?")</f>
        <v>Services</v>
      </c>
      <c r="H15">
        <v>3</v>
      </c>
      <c r="I15" s="12">
        <f>H15*_xlfn.XLOOKUP(E15,Products!$A:$A,Products!$D:$D,0)</f>
        <v>3600</v>
      </c>
      <c r="J15" s="12">
        <f>H15*_xlfn.XLOOKUP(E15,Products!$A:$A,Products!$E:$E,0)</f>
        <v>1920</v>
      </c>
      <c r="K15" s="13">
        <f>IFERROR((I15-J15)/I15,0)</f>
        <v>0.4666666666666667</v>
      </c>
      <c r="L15" t="s">
        <v>50</v>
      </c>
    </row>
    <row r="16" spans="1:12" x14ac:dyDescent="0.25">
      <c r="A16" t="s">
        <v>70</v>
      </c>
      <c r="B16" s="11">
        <v>46037</v>
      </c>
      <c r="C16" t="s">
        <v>8</v>
      </c>
      <c r="D16" t="s">
        <v>23</v>
      </c>
      <c r="E16" t="s">
        <v>66</v>
      </c>
      <c r="F16" t="str">
        <f>_xlfn.XLOOKUP(E16,Products!$A:$A,Products!$B:$B,"?")</f>
        <v>Cloud Seat Plus</v>
      </c>
      <c r="G16" t="str">
        <f>_xlfn.XLOOKUP(E16,Products!$A:$A,Products!$C:$C,"?")</f>
        <v>Software</v>
      </c>
      <c r="H16">
        <v>79</v>
      </c>
      <c r="I16" s="12">
        <f>H16*_xlfn.XLOOKUP(E16,Products!$A:$A,Products!$D:$D,0)</f>
        <v>4345</v>
      </c>
      <c r="J16" s="12">
        <f>H16*_xlfn.XLOOKUP(E16,Products!$A:$A,Products!$E:$E,0)</f>
        <v>553</v>
      </c>
      <c r="K16" s="13">
        <f>IFERROR((I16-J16)/I16,0)</f>
        <v>0.8727272727272727</v>
      </c>
      <c r="L16" t="s">
        <v>50</v>
      </c>
    </row>
    <row r="17" spans="1:12" x14ac:dyDescent="0.25">
      <c r="A17" t="s">
        <v>71</v>
      </c>
      <c r="B17" s="11">
        <v>46026</v>
      </c>
      <c r="C17" t="s">
        <v>8</v>
      </c>
      <c r="D17" t="s">
        <v>48</v>
      </c>
      <c r="E17" t="s">
        <v>55</v>
      </c>
      <c r="F17" t="str">
        <f>_xlfn.XLOOKUP(E17,Products!$A:$A,Products!$B:$B,"?")</f>
        <v>Gadget</v>
      </c>
      <c r="G17" t="str">
        <f>_xlfn.XLOOKUP(E17,Products!$A:$A,Products!$C:$C,"?")</f>
        <v>Hardware</v>
      </c>
      <c r="H17">
        <v>46</v>
      </c>
      <c r="I17" s="12">
        <f>H17*_xlfn.XLOOKUP(E17,Products!$A:$A,Products!$D:$D,0)</f>
        <v>4094</v>
      </c>
      <c r="J17" s="12">
        <f>H17*_xlfn.XLOOKUP(E17,Products!$A:$A,Products!$E:$E,0)</f>
        <v>2162</v>
      </c>
      <c r="K17" s="13">
        <f>IFERROR((I17-J17)/I17,0)</f>
        <v>0.47191011235955055</v>
      </c>
      <c r="L17" t="s">
        <v>50</v>
      </c>
    </row>
    <row r="18" spans="1:12" x14ac:dyDescent="0.25">
      <c r="A18" t="s">
        <v>72</v>
      </c>
      <c r="B18" s="11">
        <v>46039</v>
      </c>
      <c r="C18" t="s">
        <v>11</v>
      </c>
      <c r="D18" t="s">
        <v>20</v>
      </c>
      <c r="E18" t="s">
        <v>68</v>
      </c>
      <c r="F18" t="str">
        <f>_xlfn.XLOOKUP(E18,Products!$A:$A,Products!$B:$B,"?")</f>
        <v>Widget Pro</v>
      </c>
      <c r="G18" t="str">
        <f>_xlfn.XLOOKUP(E18,Products!$A:$A,Products!$C:$C,"?")</f>
        <v>Hardware</v>
      </c>
      <c r="H18">
        <v>53</v>
      </c>
      <c r="I18" s="12">
        <f>H18*_xlfn.XLOOKUP(E18,Products!$A:$A,Products!$D:$D,0)</f>
        <v>2597</v>
      </c>
      <c r="J18" s="12">
        <f>H18*_xlfn.XLOOKUP(E18,Products!$A:$A,Products!$E:$E,0)</f>
        <v>1166</v>
      </c>
      <c r="K18" s="13">
        <f>IFERROR((I18-J18)/I18,0)</f>
        <v>0.5510204081632653</v>
      </c>
      <c r="L18" t="s">
        <v>50</v>
      </c>
    </row>
    <row r="19" spans="1:12" x14ac:dyDescent="0.25">
      <c r="A19" t="s">
        <v>73</v>
      </c>
      <c r="B19" s="11">
        <v>46040</v>
      </c>
      <c r="C19" t="s">
        <v>8</v>
      </c>
      <c r="D19" t="s">
        <v>23</v>
      </c>
      <c r="E19" t="s">
        <v>66</v>
      </c>
      <c r="F19" t="str">
        <f>_xlfn.XLOOKUP(E19,Products!$A:$A,Products!$B:$B,"?")</f>
        <v>Cloud Seat Plus</v>
      </c>
      <c r="G19" t="str">
        <f>_xlfn.XLOOKUP(E19,Products!$A:$A,Products!$C:$C,"?")</f>
        <v>Software</v>
      </c>
      <c r="H19">
        <v>70</v>
      </c>
      <c r="I19" s="12">
        <f>H19*_xlfn.XLOOKUP(E19,Products!$A:$A,Products!$D:$D,0)</f>
        <v>3850</v>
      </c>
      <c r="J19" s="12">
        <f>H19*_xlfn.XLOOKUP(E19,Products!$A:$A,Products!$E:$E,0)</f>
        <v>490</v>
      </c>
      <c r="K19" s="13">
        <f>IFERROR((I19-J19)/I19,0)</f>
        <v>0.8727272727272727</v>
      </c>
      <c r="L19" t="s">
        <v>50</v>
      </c>
    </row>
    <row r="20" spans="1:12" x14ac:dyDescent="0.25">
      <c r="A20" t="s">
        <v>74</v>
      </c>
      <c r="B20" s="11">
        <v>46040</v>
      </c>
      <c r="C20" t="s">
        <v>11</v>
      </c>
      <c r="D20" t="s">
        <v>20</v>
      </c>
      <c r="E20" t="s">
        <v>66</v>
      </c>
      <c r="F20" t="str">
        <f>_xlfn.XLOOKUP(E20,Products!$A:$A,Products!$B:$B,"?")</f>
        <v>Cloud Seat Plus</v>
      </c>
      <c r="G20" t="str">
        <f>_xlfn.XLOOKUP(E20,Products!$A:$A,Products!$C:$C,"?")</f>
        <v>Software</v>
      </c>
      <c r="H20">
        <v>30</v>
      </c>
      <c r="I20" s="12">
        <f>H20*_xlfn.XLOOKUP(E20,Products!$A:$A,Products!$D:$D,0)</f>
        <v>1650</v>
      </c>
      <c r="J20" s="12">
        <f>H20*_xlfn.XLOOKUP(E20,Products!$A:$A,Products!$E:$E,0)</f>
        <v>210</v>
      </c>
      <c r="K20" s="13">
        <f>IFERROR((I20-J20)/I20,0)</f>
        <v>0.8727272727272727</v>
      </c>
      <c r="L20" t="s">
        <v>50</v>
      </c>
    </row>
    <row r="21" spans="1:12" x14ac:dyDescent="0.25">
      <c r="A21" t="s">
        <v>75</v>
      </c>
      <c r="B21" s="11">
        <v>46047</v>
      </c>
      <c r="C21" t="s">
        <v>9</v>
      </c>
      <c r="D21" t="s">
        <v>17</v>
      </c>
      <c r="E21" t="s">
        <v>57</v>
      </c>
      <c r="F21" t="str">
        <f>_xlfn.XLOOKUP(E21,Products!$A:$A,Products!$B:$B,"?")</f>
        <v>Training day</v>
      </c>
      <c r="G21" t="str">
        <f>_xlfn.XLOOKUP(E21,Products!$A:$A,Products!$C:$C,"?")</f>
        <v>Services</v>
      </c>
      <c r="H21">
        <v>3</v>
      </c>
      <c r="I21" s="12">
        <f>H21*_xlfn.XLOOKUP(E21,Products!$A:$A,Products!$D:$D,0)</f>
        <v>3600</v>
      </c>
      <c r="J21" s="12">
        <f>H21*_xlfn.XLOOKUP(E21,Products!$A:$A,Products!$E:$E,0)</f>
        <v>1920</v>
      </c>
      <c r="K21" s="13">
        <f>IFERROR((I21-J21)/I21,0)</f>
        <v>0.4666666666666667</v>
      </c>
      <c r="L21" t="s">
        <v>50</v>
      </c>
    </row>
    <row r="22" spans="1:12" x14ac:dyDescent="0.25">
      <c r="A22" t="s">
        <v>76</v>
      </c>
      <c r="B22" s="11">
        <v>46075</v>
      </c>
      <c r="C22" t="s">
        <v>11</v>
      </c>
      <c r="D22" t="s">
        <v>20</v>
      </c>
      <c r="E22" t="s">
        <v>52</v>
      </c>
      <c r="F22" t="str">
        <f>_xlfn.XLOOKUP(E22,Products!$A:$A,Products!$B:$B,"?")</f>
        <v>Setup</v>
      </c>
      <c r="G22" t="str">
        <f>_xlfn.XLOOKUP(E22,Products!$A:$A,Products!$C:$C,"?")</f>
        <v>Services</v>
      </c>
      <c r="H22">
        <v>2</v>
      </c>
      <c r="I22" s="12">
        <f>H22*_xlfn.XLOOKUP(E22,Products!$A:$A,Products!$D:$D,0)</f>
        <v>900</v>
      </c>
      <c r="J22" s="12">
        <f>H22*_xlfn.XLOOKUP(E22,Products!$A:$A,Products!$E:$E,0)</f>
        <v>520</v>
      </c>
      <c r="K22" s="13">
        <f>IFERROR((I22-J22)/I22,0)</f>
        <v>0.4222222222222222</v>
      </c>
      <c r="L22" t="s">
        <v>50</v>
      </c>
    </row>
    <row r="23" spans="1:12" x14ac:dyDescent="0.25">
      <c r="A23" t="s">
        <v>77</v>
      </c>
      <c r="B23" s="11">
        <v>46080</v>
      </c>
      <c r="C23" t="s">
        <v>9</v>
      </c>
      <c r="D23" t="s">
        <v>17</v>
      </c>
      <c r="E23" t="s">
        <v>78</v>
      </c>
      <c r="F23" t="str">
        <f>_xlfn.XLOOKUP(E23,Products!$A:$A,Products!$B:$B,"?")</f>
        <v>Cloud Seat</v>
      </c>
      <c r="G23" t="str">
        <f>_xlfn.XLOOKUP(E23,Products!$A:$A,Products!$C:$C,"?")</f>
        <v>Software</v>
      </c>
      <c r="H23">
        <v>29</v>
      </c>
      <c r="I23" s="12">
        <f>H23*_xlfn.XLOOKUP(E23,Products!$A:$A,Products!$D:$D,0)</f>
        <v>870</v>
      </c>
      <c r="J23" s="12">
        <f>H23*_xlfn.XLOOKUP(E23,Products!$A:$A,Products!$E:$E,0)</f>
        <v>116</v>
      </c>
      <c r="K23" s="13">
        <f>IFERROR((I23-J23)/I23,0)</f>
        <v>0.8666666666666667</v>
      </c>
      <c r="L23" t="s">
        <v>50</v>
      </c>
    </row>
    <row r="24" spans="1:12" x14ac:dyDescent="0.25">
      <c r="A24" t="s">
        <v>79</v>
      </c>
      <c r="B24" s="11">
        <v>46064</v>
      </c>
      <c r="C24" t="s">
        <v>8</v>
      </c>
      <c r="D24" t="s">
        <v>48</v>
      </c>
      <c r="E24" t="s">
        <v>49</v>
      </c>
      <c r="F24" t="str">
        <f>_xlfn.XLOOKUP(E24,Products!$A:$A,Products!$B:$B,"?")</f>
        <v>Widget</v>
      </c>
      <c r="G24" t="str">
        <f>_xlfn.XLOOKUP(E24,Products!$A:$A,Products!$C:$C,"?")</f>
        <v>Hardware</v>
      </c>
      <c r="H24">
        <v>34</v>
      </c>
      <c r="I24" s="12">
        <f>H24*_xlfn.XLOOKUP(E24,Products!$A:$A,Products!$D:$D,0)</f>
        <v>816</v>
      </c>
      <c r="J24" s="12">
        <f>H24*_xlfn.XLOOKUP(E24,Products!$A:$A,Products!$E:$E,0)</f>
        <v>374</v>
      </c>
      <c r="K24" s="13">
        <f>IFERROR((I24-J24)/I24,0)</f>
        <v>0.5416666666666666</v>
      </c>
      <c r="L24" t="s">
        <v>50</v>
      </c>
    </row>
    <row r="25" spans="1:12" x14ac:dyDescent="0.25">
      <c r="A25" t="s">
        <v>80</v>
      </c>
      <c r="B25" s="11">
        <v>46055</v>
      </c>
      <c r="C25" t="s">
        <v>9</v>
      </c>
      <c r="D25" t="s">
        <v>17</v>
      </c>
      <c r="E25" t="s">
        <v>55</v>
      </c>
      <c r="F25" t="str">
        <f>_xlfn.XLOOKUP(E25,Products!$A:$A,Products!$B:$B,"?")</f>
        <v>Gadget</v>
      </c>
      <c r="G25" t="str">
        <f>_xlfn.XLOOKUP(E25,Products!$A:$A,Products!$C:$C,"?")</f>
        <v>Hardware</v>
      </c>
      <c r="H25">
        <v>66</v>
      </c>
      <c r="I25" s="12">
        <f>H25*_xlfn.XLOOKUP(E25,Products!$A:$A,Products!$D:$D,0)</f>
        <v>5874</v>
      </c>
      <c r="J25" s="12">
        <f>H25*_xlfn.XLOOKUP(E25,Products!$A:$A,Products!$E:$E,0)</f>
        <v>3102</v>
      </c>
      <c r="K25" s="13">
        <f>IFERROR((I25-J25)/I25,0)</f>
        <v>0.47191011235955055</v>
      </c>
      <c r="L25" t="s">
        <v>50</v>
      </c>
    </row>
    <row r="26" spans="1:12" x14ac:dyDescent="0.25">
      <c r="A26" t="s">
        <v>81</v>
      </c>
      <c r="B26" s="11">
        <v>46079</v>
      </c>
      <c r="C26" t="s">
        <v>9</v>
      </c>
      <c r="D26" t="s">
        <v>17</v>
      </c>
      <c r="E26" t="s">
        <v>66</v>
      </c>
      <c r="F26" t="str">
        <f>_xlfn.XLOOKUP(E26,Products!$A:$A,Products!$B:$B,"?")</f>
        <v>Cloud Seat Plus</v>
      </c>
      <c r="G26" t="str">
        <f>_xlfn.XLOOKUP(E26,Products!$A:$A,Products!$C:$C,"?")</f>
        <v>Software</v>
      </c>
      <c r="H26">
        <v>30</v>
      </c>
      <c r="I26" s="12">
        <f>H26*_xlfn.XLOOKUP(E26,Products!$A:$A,Products!$D:$D,0)</f>
        <v>1650</v>
      </c>
      <c r="J26" s="12">
        <f>H26*_xlfn.XLOOKUP(E26,Products!$A:$A,Products!$E:$E,0)</f>
        <v>210</v>
      </c>
      <c r="K26" s="13">
        <f>IFERROR((I26-J26)/I26,0)</f>
        <v>0.8727272727272727</v>
      </c>
      <c r="L26" t="s">
        <v>50</v>
      </c>
    </row>
    <row r="27" spans="1:12" x14ac:dyDescent="0.25">
      <c r="A27" t="s">
        <v>82</v>
      </c>
      <c r="B27" s="11">
        <v>46075</v>
      </c>
      <c r="C27" t="s">
        <v>8</v>
      </c>
      <c r="D27" t="s">
        <v>48</v>
      </c>
      <c r="E27" t="s">
        <v>52</v>
      </c>
      <c r="F27" t="str">
        <f>_xlfn.XLOOKUP(E27,Products!$A:$A,Products!$B:$B,"?")</f>
        <v>Setup</v>
      </c>
      <c r="G27" t="str">
        <f>_xlfn.XLOOKUP(E27,Products!$A:$A,Products!$C:$C,"?")</f>
        <v>Services</v>
      </c>
      <c r="H27">
        <v>1</v>
      </c>
      <c r="I27" s="12">
        <f>H27*_xlfn.XLOOKUP(E27,Products!$A:$A,Products!$D:$D,0)</f>
        <v>450</v>
      </c>
      <c r="J27" s="12">
        <f>H27*_xlfn.XLOOKUP(E27,Products!$A:$A,Products!$E:$E,0)</f>
        <v>260</v>
      </c>
      <c r="K27" s="13">
        <f>IFERROR((I27-J27)/I27,0)</f>
        <v>0.4222222222222222</v>
      </c>
      <c r="L27" t="s">
        <v>50</v>
      </c>
    </row>
    <row r="28" spans="1:12" x14ac:dyDescent="0.25">
      <c r="A28" t="s">
        <v>83</v>
      </c>
      <c r="B28" s="11">
        <v>46059</v>
      </c>
      <c r="C28" t="s">
        <v>11</v>
      </c>
      <c r="D28" t="s">
        <v>19</v>
      </c>
      <c r="E28" t="s">
        <v>66</v>
      </c>
      <c r="F28" t="str">
        <f>_xlfn.XLOOKUP(E28,Products!$A:$A,Products!$B:$B,"?")</f>
        <v>Cloud Seat Plus</v>
      </c>
      <c r="G28" t="str">
        <f>_xlfn.XLOOKUP(E28,Products!$A:$A,Products!$C:$C,"?")</f>
        <v>Software</v>
      </c>
      <c r="H28">
        <v>37</v>
      </c>
      <c r="I28" s="12">
        <f>H28*_xlfn.XLOOKUP(E28,Products!$A:$A,Products!$D:$D,0)</f>
        <v>2035</v>
      </c>
      <c r="J28" s="12">
        <f>H28*_xlfn.XLOOKUP(E28,Products!$A:$A,Products!$E:$E,0)</f>
        <v>259</v>
      </c>
      <c r="K28" s="13">
        <f>IFERROR((I28-J28)/I28,0)</f>
        <v>0.8727272727272727</v>
      </c>
      <c r="L28" t="s">
        <v>58</v>
      </c>
    </row>
    <row r="29" spans="1:12" x14ac:dyDescent="0.25">
      <c r="A29" t="s">
        <v>84</v>
      </c>
      <c r="B29" s="11">
        <v>46070</v>
      </c>
      <c r="C29" t="s">
        <v>8</v>
      </c>
      <c r="D29" t="s">
        <v>48</v>
      </c>
      <c r="E29" t="s">
        <v>49</v>
      </c>
      <c r="F29" t="str">
        <f>_xlfn.XLOOKUP(E29,Products!$A:$A,Products!$B:$B,"?")</f>
        <v>Widget</v>
      </c>
      <c r="G29" t="str">
        <f>_xlfn.XLOOKUP(E29,Products!$A:$A,Products!$C:$C,"?")</f>
        <v>Hardware</v>
      </c>
      <c r="H29">
        <v>29</v>
      </c>
      <c r="I29" s="12">
        <f>H29*_xlfn.XLOOKUP(E29,Products!$A:$A,Products!$D:$D,0)</f>
        <v>696</v>
      </c>
      <c r="J29" s="12">
        <f>H29*_xlfn.XLOOKUP(E29,Products!$A:$A,Products!$E:$E,0)</f>
        <v>319</v>
      </c>
      <c r="K29" s="13">
        <f>IFERROR((I29-J29)/I29,0)</f>
        <v>0.5416666666666666</v>
      </c>
      <c r="L29" t="s">
        <v>50</v>
      </c>
    </row>
    <row r="30" spans="1:12" x14ac:dyDescent="0.25">
      <c r="A30" t="s">
        <v>85</v>
      </c>
      <c r="B30" s="11">
        <v>46059</v>
      </c>
      <c r="C30" t="s">
        <v>9</v>
      </c>
      <c r="D30" t="s">
        <v>17</v>
      </c>
      <c r="E30" t="s">
        <v>66</v>
      </c>
      <c r="F30" t="str">
        <f>_xlfn.XLOOKUP(E30,Products!$A:$A,Products!$B:$B,"?")</f>
        <v>Cloud Seat Plus</v>
      </c>
      <c r="G30" t="str">
        <f>_xlfn.XLOOKUP(E30,Products!$A:$A,Products!$C:$C,"?")</f>
        <v>Software</v>
      </c>
      <c r="H30">
        <v>80</v>
      </c>
      <c r="I30" s="12">
        <f>H30*_xlfn.XLOOKUP(E30,Products!$A:$A,Products!$D:$D,0)</f>
        <v>4400</v>
      </c>
      <c r="J30" s="12">
        <f>H30*_xlfn.XLOOKUP(E30,Products!$A:$A,Products!$E:$E,0)</f>
        <v>560</v>
      </c>
      <c r="K30" s="13">
        <f>IFERROR((I30-J30)/I30,0)</f>
        <v>0.8727272727272727</v>
      </c>
      <c r="L30" t="s">
        <v>50</v>
      </c>
    </row>
    <row r="31" spans="1:12" x14ac:dyDescent="0.25">
      <c r="A31" t="s">
        <v>86</v>
      </c>
      <c r="B31" s="11">
        <v>46068</v>
      </c>
      <c r="C31" t="s">
        <v>11</v>
      </c>
      <c r="D31" t="s">
        <v>20</v>
      </c>
      <c r="E31" t="s">
        <v>52</v>
      </c>
      <c r="F31" t="str">
        <f>_xlfn.XLOOKUP(E31,Products!$A:$A,Products!$B:$B,"?")</f>
        <v>Setup</v>
      </c>
      <c r="G31" t="str">
        <f>_xlfn.XLOOKUP(E31,Products!$A:$A,Products!$C:$C,"?")</f>
        <v>Services</v>
      </c>
      <c r="H31">
        <v>2</v>
      </c>
      <c r="I31" s="12">
        <f>H31*_xlfn.XLOOKUP(E31,Products!$A:$A,Products!$D:$D,0)</f>
        <v>900</v>
      </c>
      <c r="J31" s="12">
        <f>H31*_xlfn.XLOOKUP(E31,Products!$A:$A,Products!$E:$E,0)</f>
        <v>520</v>
      </c>
      <c r="K31" s="13">
        <f>IFERROR((I31-J31)/I31,0)</f>
        <v>0.4222222222222222</v>
      </c>
      <c r="L31" t="s">
        <v>50</v>
      </c>
    </row>
    <row r="32" spans="1:12" x14ac:dyDescent="0.25">
      <c r="A32" t="s">
        <v>87</v>
      </c>
      <c r="B32" s="11">
        <v>46076</v>
      </c>
      <c r="C32" t="s">
        <v>9</v>
      </c>
      <c r="D32" t="s">
        <v>17</v>
      </c>
      <c r="E32" t="s">
        <v>66</v>
      </c>
      <c r="F32" t="str">
        <f>_xlfn.XLOOKUP(E32,Products!$A:$A,Products!$B:$B,"?")</f>
        <v>Cloud Seat Plus</v>
      </c>
      <c r="G32" t="str">
        <f>_xlfn.XLOOKUP(E32,Products!$A:$A,Products!$C:$C,"?")</f>
        <v>Software</v>
      </c>
      <c r="H32">
        <v>32</v>
      </c>
      <c r="I32" s="12">
        <f>H32*_xlfn.XLOOKUP(E32,Products!$A:$A,Products!$D:$D,0)</f>
        <v>1760</v>
      </c>
      <c r="J32" s="12">
        <f>H32*_xlfn.XLOOKUP(E32,Products!$A:$A,Products!$E:$E,0)</f>
        <v>224</v>
      </c>
      <c r="K32" s="13">
        <f>IFERROR((I32-J32)/I32,0)</f>
        <v>0.8727272727272727</v>
      </c>
      <c r="L32" t="s">
        <v>50</v>
      </c>
    </row>
    <row r="33" spans="1:12" x14ac:dyDescent="0.25">
      <c r="A33" t="s">
        <v>88</v>
      </c>
      <c r="B33" s="11">
        <v>46075</v>
      </c>
      <c r="C33" t="s">
        <v>9</v>
      </c>
      <c r="D33" t="s">
        <v>17</v>
      </c>
      <c r="E33" t="s">
        <v>68</v>
      </c>
      <c r="F33" t="str">
        <f>_xlfn.XLOOKUP(E33,Products!$A:$A,Products!$B:$B,"?")</f>
        <v>Widget Pro</v>
      </c>
      <c r="G33" t="str">
        <f>_xlfn.XLOOKUP(E33,Products!$A:$A,Products!$C:$C,"?")</f>
        <v>Hardware</v>
      </c>
      <c r="H33">
        <v>68</v>
      </c>
      <c r="I33" s="12">
        <f>H33*_xlfn.XLOOKUP(E33,Products!$A:$A,Products!$D:$D,0)</f>
        <v>3332</v>
      </c>
      <c r="J33" s="12">
        <f>H33*_xlfn.XLOOKUP(E33,Products!$A:$A,Products!$E:$E,0)</f>
        <v>1496</v>
      </c>
      <c r="K33" s="13">
        <f>IFERROR((I33-J33)/I33,0)</f>
        <v>0.5510204081632653</v>
      </c>
      <c r="L33" t="s">
        <v>50</v>
      </c>
    </row>
    <row r="34" spans="1:12" x14ac:dyDescent="0.25">
      <c r="A34" t="s">
        <v>89</v>
      </c>
      <c r="B34" s="11">
        <v>46058</v>
      </c>
      <c r="C34" t="s">
        <v>11</v>
      </c>
      <c r="D34" t="s">
        <v>20</v>
      </c>
      <c r="E34" t="s">
        <v>55</v>
      </c>
      <c r="F34" t="str">
        <f>_xlfn.XLOOKUP(E34,Products!$A:$A,Products!$B:$B,"?")</f>
        <v>Gadget</v>
      </c>
      <c r="G34" t="str">
        <f>_xlfn.XLOOKUP(E34,Products!$A:$A,Products!$C:$C,"?")</f>
        <v>Hardware</v>
      </c>
      <c r="H34">
        <v>22</v>
      </c>
      <c r="I34" s="12">
        <f>H34*_xlfn.XLOOKUP(E34,Products!$A:$A,Products!$D:$D,0)</f>
        <v>1958</v>
      </c>
      <c r="J34" s="12">
        <f>H34*_xlfn.XLOOKUP(E34,Products!$A:$A,Products!$E:$E,0)</f>
        <v>1034</v>
      </c>
      <c r="K34" s="13">
        <f>IFERROR((I34-J34)/I34,0)</f>
        <v>0.47191011235955055</v>
      </c>
      <c r="L34" t="s">
        <v>50</v>
      </c>
    </row>
    <row r="35" spans="1:12" x14ac:dyDescent="0.25">
      <c r="A35" t="s">
        <v>90</v>
      </c>
      <c r="B35" s="11">
        <v>46056</v>
      </c>
      <c r="C35" t="s">
        <v>8</v>
      </c>
      <c r="D35" t="s">
        <v>23</v>
      </c>
      <c r="E35" t="s">
        <v>52</v>
      </c>
      <c r="F35" t="str">
        <f>_xlfn.XLOOKUP(E35,Products!$A:$A,Products!$B:$B,"?")</f>
        <v>Setup</v>
      </c>
      <c r="G35" t="str">
        <f>_xlfn.XLOOKUP(E35,Products!$A:$A,Products!$C:$C,"?")</f>
        <v>Services</v>
      </c>
      <c r="H35">
        <v>3</v>
      </c>
      <c r="I35" s="12">
        <f>H35*_xlfn.XLOOKUP(E35,Products!$A:$A,Products!$D:$D,0)</f>
        <v>1350</v>
      </c>
      <c r="J35" s="12">
        <f>H35*_xlfn.XLOOKUP(E35,Products!$A:$A,Products!$E:$E,0)</f>
        <v>780</v>
      </c>
      <c r="K35" s="13">
        <f>IFERROR((I35-J35)/I35,0)</f>
        <v>0.4222222222222222</v>
      </c>
      <c r="L35" t="s">
        <v>50</v>
      </c>
    </row>
    <row r="36" spans="1:12" x14ac:dyDescent="0.25">
      <c r="A36" t="s">
        <v>91</v>
      </c>
      <c r="B36" s="11">
        <v>46071</v>
      </c>
      <c r="C36" t="s">
        <v>8</v>
      </c>
      <c r="D36" t="s">
        <v>48</v>
      </c>
      <c r="E36" t="s">
        <v>57</v>
      </c>
      <c r="F36" t="str">
        <f>_xlfn.XLOOKUP(E36,Products!$A:$A,Products!$B:$B,"?")</f>
        <v>Training day</v>
      </c>
      <c r="G36" t="str">
        <f>_xlfn.XLOOKUP(E36,Products!$A:$A,Products!$C:$C,"?")</f>
        <v>Services</v>
      </c>
      <c r="H36">
        <v>1</v>
      </c>
      <c r="I36" s="12">
        <f>H36*_xlfn.XLOOKUP(E36,Products!$A:$A,Products!$D:$D,0)</f>
        <v>1200</v>
      </c>
      <c r="J36" s="12">
        <f>H36*_xlfn.XLOOKUP(E36,Products!$A:$A,Products!$E:$E,0)</f>
        <v>640</v>
      </c>
      <c r="K36" s="13">
        <f>IFERROR((I36-J36)/I36,0)</f>
        <v>0.4666666666666667</v>
      </c>
      <c r="L36" t="s">
        <v>50</v>
      </c>
    </row>
    <row r="37" spans="1:12" x14ac:dyDescent="0.25">
      <c r="A37" t="s">
        <v>92</v>
      </c>
      <c r="B37" s="11">
        <v>46055</v>
      </c>
      <c r="C37" t="s">
        <v>8</v>
      </c>
      <c r="D37" t="s">
        <v>48</v>
      </c>
      <c r="E37" t="s">
        <v>49</v>
      </c>
      <c r="F37" t="str">
        <f>_xlfn.XLOOKUP(E37,Products!$A:$A,Products!$B:$B,"?")</f>
        <v>Widget</v>
      </c>
      <c r="G37" t="str">
        <f>_xlfn.XLOOKUP(E37,Products!$A:$A,Products!$C:$C,"?")</f>
        <v>Hardware</v>
      </c>
      <c r="H37">
        <v>75</v>
      </c>
      <c r="I37" s="12">
        <f>H37*_xlfn.XLOOKUP(E37,Products!$A:$A,Products!$D:$D,0)</f>
        <v>1800</v>
      </c>
      <c r="J37" s="12">
        <f>H37*_xlfn.XLOOKUP(E37,Products!$A:$A,Products!$E:$E,0)</f>
        <v>825</v>
      </c>
      <c r="K37" s="13">
        <f>IFERROR((I37-J37)/I37,0)</f>
        <v>0.5416666666666666</v>
      </c>
      <c r="L37" t="s">
        <v>58</v>
      </c>
    </row>
    <row r="38" spans="1:12" x14ac:dyDescent="0.25">
      <c r="A38" t="s">
        <v>93</v>
      </c>
      <c r="B38" s="11">
        <v>46058</v>
      </c>
      <c r="C38" t="s">
        <v>8</v>
      </c>
      <c r="D38" t="s">
        <v>48</v>
      </c>
      <c r="E38" t="s">
        <v>66</v>
      </c>
      <c r="F38" t="str">
        <f>_xlfn.XLOOKUP(E38,Products!$A:$A,Products!$B:$B,"?")</f>
        <v>Cloud Seat Plus</v>
      </c>
      <c r="G38" t="str">
        <f>_xlfn.XLOOKUP(E38,Products!$A:$A,Products!$C:$C,"?")</f>
        <v>Software</v>
      </c>
      <c r="H38">
        <v>43</v>
      </c>
      <c r="I38" s="12">
        <f>H38*_xlfn.XLOOKUP(E38,Products!$A:$A,Products!$D:$D,0)</f>
        <v>2365</v>
      </c>
      <c r="J38" s="12">
        <f>H38*_xlfn.XLOOKUP(E38,Products!$A:$A,Products!$E:$E,0)</f>
        <v>301</v>
      </c>
      <c r="K38" s="13">
        <f>IFERROR((I38-J38)/I38,0)</f>
        <v>0.8727272727272727</v>
      </c>
      <c r="L38" t="s">
        <v>50</v>
      </c>
    </row>
    <row r="39" spans="1:12" x14ac:dyDescent="0.25">
      <c r="A39" t="s">
        <v>94</v>
      </c>
      <c r="B39" s="11">
        <v>46078</v>
      </c>
      <c r="C39" t="s">
        <v>11</v>
      </c>
      <c r="D39" t="s">
        <v>19</v>
      </c>
      <c r="E39" t="s">
        <v>55</v>
      </c>
      <c r="F39" t="str">
        <f>_xlfn.XLOOKUP(E39,Products!$A:$A,Products!$B:$B,"?")</f>
        <v>Gadget</v>
      </c>
      <c r="G39" t="str">
        <f>_xlfn.XLOOKUP(E39,Products!$A:$A,Products!$C:$C,"?")</f>
        <v>Hardware</v>
      </c>
      <c r="H39">
        <v>41</v>
      </c>
      <c r="I39" s="12">
        <f>H39*_xlfn.XLOOKUP(E39,Products!$A:$A,Products!$D:$D,0)</f>
        <v>3649</v>
      </c>
      <c r="J39" s="12">
        <f>H39*_xlfn.XLOOKUP(E39,Products!$A:$A,Products!$E:$E,0)</f>
        <v>1927</v>
      </c>
      <c r="K39" s="13">
        <f>IFERROR((I39-J39)/I39,0)</f>
        <v>0.47191011235955055</v>
      </c>
      <c r="L39" t="s">
        <v>50</v>
      </c>
    </row>
    <row r="40" spans="1:12" x14ac:dyDescent="0.25">
      <c r="A40" t="s">
        <v>95</v>
      </c>
      <c r="B40" s="11">
        <v>46057</v>
      </c>
      <c r="C40" t="s">
        <v>9</v>
      </c>
      <c r="D40" t="s">
        <v>17</v>
      </c>
      <c r="E40" t="s">
        <v>49</v>
      </c>
      <c r="F40" t="str">
        <f>_xlfn.XLOOKUP(E40,Products!$A:$A,Products!$B:$B,"?")</f>
        <v>Widget</v>
      </c>
      <c r="G40" t="str">
        <f>_xlfn.XLOOKUP(E40,Products!$A:$A,Products!$C:$C,"?")</f>
        <v>Hardware</v>
      </c>
      <c r="H40">
        <v>79</v>
      </c>
      <c r="I40" s="12">
        <f>H40*_xlfn.XLOOKUP(E40,Products!$A:$A,Products!$D:$D,0)</f>
        <v>1896</v>
      </c>
      <c r="J40" s="12">
        <f>H40*_xlfn.XLOOKUP(E40,Products!$A:$A,Products!$E:$E,0)</f>
        <v>869</v>
      </c>
      <c r="K40" s="13">
        <f>IFERROR((I40-J40)/I40,0)</f>
        <v>0.5416666666666666</v>
      </c>
      <c r="L40" t="s">
        <v>50</v>
      </c>
    </row>
    <row r="41" spans="1:12" x14ac:dyDescent="0.25">
      <c r="A41" t="s">
        <v>96</v>
      </c>
      <c r="B41" s="11">
        <v>46062</v>
      </c>
      <c r="C41" t="s">
        <v>11</v>
      </c>
      <c r="D41" t="s">
        <v>20</v>
      </c>
      <c r="E41" t="s">
        <v>78</v>
      </c>
      <c r="F41" t="str">
        <f>_xlfn.XLOOKUP(E41,Products!$A:$A,Products!$B:$B,"?")</f>
        <v>Cloud Seat</v>
      </c>
      <c r="G41" t="str">
        <f>_xlfn.XLOOKUP(E41,Products!$A:$A,Products!$C:$C,"?")</f>
        <v>Software</v>
      </c>
      <c r="H41">
        <v>75</v>
      </c>
      <c r="I41" s="12">
        <f>H41*_xlfn.XLOOKUP(E41,Products!$A:$A,Products!$D:$D,0)</f>
        <v>2250</v>
      </c>
      <c r="J41" s="12">
        <f>H41*_xlfn.XLOOKUP(E41,Products!$A:$A,Products!$E:$E,0)</f>
        <v>300</v>
      </c>
      <c r="K41" s="13">
        <f>IFERROR((I41-J41)/I41,0)</f>
        <v>0.8666666666666667</v>
      </c>
      <c r="L41" t="s">
        <v>50</v>
      </c>
    </row>
    <row r="42" spans="1:12" x14ac:dyDescent="0.25">
      <c r="A42" t="s">
        <v>97</v>
      </c>
      <c r="B42" s="11">
        <v>46088</v>
      </c>
      <c r="C42" t="s">
        <v>8</v>
      </c>
      <c r="D42" t="s">
        <v>23</v>
      </c>
      <c r="E42" t="s">
        <v>49</v>
      </c>
      <c r="F42" t="str">
        <f>_xlfn.XLOOKUP(E42,Products!$A:$A,Products!$B:$B,"?")</f>
        <v>Widget</v>
      </c>
      <c r="G42" t="str">
        <f>_xlfn.XLOOKUP(E42,Products!$A:$A,Products!$C:$C,"?")</f>
        <v>Hardware</v>
      </c>
      <c r="H42">
        <v>26</v>
      </c>
      <c r="I42" s="12">
        <f>H42*_xlfn.XLOOKUP(E42,Products!$A:$A,Products!$D:$D,0)</f>
        <v>624</v>
      </c>
      <c r="J42" s="12">
        <f>H42*_xlfn.XLOOKUP(E42,Products!$A:$A,Products!$E:$E,0)</f>
        <v>286</v>
      </c>
      <c r="K42" s="13">
        <f>IFERROR((I42-J42)/I42,0)</f>
        <v>0.5416666666666666</v>
      </c>
      <c r="L42" t="s">
        <v>50</v>
      </c>
    </row>
    <row r="43" spans="1:12" x14ac:dyDescent="0.25">
      <c r="A43" t="s">
        <v>98</v>
      </c>
      <c r="B43" s="11">
        <v>46083</v>
      </c>
      <c r="C43" t="s">
        <v>11</v>
      </c>
      <c r="D43" t="s">
        <v>19</v>
      </c>
      <c r="E43" t="s">
        <v>66</v>
      </c>
      <c r="F43" t="str">
        <f>_xlfn.XLOOKUP(E43,Products!$A:$A,Products!$B:$B,"?")</f>
        <v>Cloud Seat Plus</v>
      </c>
      <c r="G43" t="str">
        <f>_xlfn.XLOOKUP(E43,Products!$A:$A,Products!$C:$C,"?")</f>
        <v>Software</v>
      </c>
      <c r="H43">
        <v>47</v>
      </c>
      <c r="I43" s="12">
        <f>H43*_xlfn.XLOOKUP(E43,Products!$A:$A,Products!$D:$D,0)</f>
        <v>2585</v>
      </c>
      <c r="J43" s="12">
        <f>H43*_xlfn.XLOOKUP(E43,Products!$A:$A,Products!$E:$E,0)</f>
        <v>329</v>
      </c>
      <c r="K43" s="13">
        <f>IFERROR((I43-J43)/I43,0)</f>
        <v>0.8727272727272727</v>
      </c>
      <c r="L43" t="s">
        <v>50</v>
      </c>
    </row>
    <row r="44" spans="1:12" x14ac:dyDescent="0.25">
      <c r="A44" t="s">
        <v>99</v>
      </c>
      <c r="B44" s="11">
        <v>46085</v>
      </c>
      <c r="C44" t="s">
        <v>11</v>
      </c>
      <c r="D44" t="s">
        <v>20</v>
      </c>
      <c r="E44" t="s">
        <v>52</v>
      </c>
      <c r="F44" t="str">
        <f>_xlfn.XLOOKUP(E44,Products!$A:$A,Products!$B:$B,"?")</f>
        <v>Setup</v>
      </c>
      <c r="G44" t="str">
        <f>_xlfn.XLOOKUP(E44,Products!$A:$A,Products!$C:$C,"?")</f>
        <v>Services</v>
      </c>
      <c r="H44">
        <v>1</v>
      </c>
      <c r="I44" s="12">
        <f>H44*_xlfn.XLOOKUP(E44,Products!$A:$A,Products!$D:$D,0)</f>
        <v>450</v>
      </c>
      <c r="J44" s="12">
        <f>H44*_xlfn.XLOOKUP(E44,Products!$A:$A,Products!$E:$E,0)</f>
        <v>260</v>
      </c>
      <c r="K44" s="13">
        <f>IFERROR((I44-J44)/I44,0)</f>
        <v>0.4222222222222222</v>
      </c>
      <c r="L44" t="s">
        <v>58</v>
      </c>
    </row>
    <row r="45" spans="1:12" x14ac:dyDescent="0.25">
      <c r="A45" t="s">
        <v>100</v>
      </c>
      <c r="B45" s="11">
        <v>46102</v>
      </c>
      <c r="C45" t="s">
        <v>11</v>
      </c>
      <c r="D45" t="s">
        <v>19</v>
      </c>
      <c r="E45" t="s">
        <v>57</v>
      </c>
      <c r="F45" t="str">
        <f>_xlfn.XLOOKUP(E45,Products!$A:$A,Products!$B:$B,"?")</f>
        <v>Training day</v>
      </c>
      <c r="G45" t="str">
        <f>_xlfn.XLOOKUP(E45,Products!$A:$A,Products!$C:$C,"?")</f>
        <v>Services</v>
      </c>
      <c r="H45">
        <v>1</v>
      </c>
      <c r="I45" s="12">
        <f>H45*_xlfn.XLOOKUP(E45,Products!$A:$A,Products!$D:$D,0)</f>
        <v>1200</v>
      </c>
      <c r="J45" s="12">
        <f>H45*_xlfn.XLOOKUP(E45,Products!$A:$A,Products!$E:$E,0)</f>
        <v>640</v>
      </c>
      <c r="K45" s="13">
        <f>IFERROR((I45-J45)/I45,0)</f>
        <v>0.4666666666666667</v>
      </c>
      <c r="L45" t="s">
        <v>50</v>
      </c>
    </row>
    <row r="46" spans="1:12" x14ac:dyDescent="0.25">
      <c r="A46" t="s">
        <v>101</v>
      </c>
      <c r="B46" s="11">
        <v>46082</v>
      </c>
      <c r="C46" t="s">
        <v>11</v>
      </c>
      <c r="D46" t="s">
        <v>20</v>
      </c>
      <c r="E46" t="s">
        <v>52</v>
      </c>
      <c r="F46" t="str">
        <f>_xlfn.XLOOKUP(E46,Products!$A:$A,Products!$B:$B,"?")</f>
        <v>Setup</v>
      </c>
      <c r="G46" t="str">
        <f>_xlfn.XLOOKUP(E46,Products!$A:$A,Products!$C:$C,"?")</f>
        <v>Services</v>
      </c>
      <c r="H46">
        <v>3</v>
      </c>
      <c r="I46" s="12">
        <f>H46*_xlfn.XLOOKUP(E46,Products!$A:$A,Products!$D:$D,0)</f>
        <v>1350</v>
      </c>
      <c r="J46" s="12">
        <f>H46*_xlfn.XLOOKUP(E46,Products!$A:$A,Products!$E:$E,0)</f>
        <v>780</v>
      </c>
      <c r="K46" s="13">
        <f>IFERROR((I46-J46)/I46,0)</f>
        <v>0.4222222222222222</v>
      </c>
      <c r="L46" t="s">
        <v>50</v>
      </c>
    </row>
    <row r="47" spans="1:12" x14ac:dyDescent="0.25">
      <c r="A47" t="s">
        <v>102</v>
      </c>
      <c r="B47" s="11">
        <v>46103</v>
      </c>
      <c r="C47" t="s">
        <v>8</v>
      </c>
      <c r="D47" t="s">
        <v>23</v>
      </c>
      <c r="E47" t="s">
        <v>68</v>
      </c>
      <c r="F47" t="str">
        <f>_xlfn.XLOOKUP(E47,Products!$A:$A,Products!$B:$B,"?")</f>
        <v>Widget Pro</v>
      </c>
      <c r="G47" t="str">
        <f>_xlfn.XLOOKUP(E47,Products!$A:$A,Products!$C:$C,"?")</f>
        <v>Hardware</v>
      </c>
      <c r="H47">
        <v>34</v>
      </c>
      <c r="I47" s="12">
        <f>H47*_xlfn.XLOOKUP(E47,Products!$A:$A,Products!$D:$D,0)</f>
        <v>1666</v>
      </c>
      <c r="J47" s="12">
        <f>H47*_xlfn.XLOOKUP(E47,Products!$A:$A,Products!$E:$E,0)</f>
        <v>748</v>
      </c>
      <c r="K47" s="13">
        <f>IFERROR((I47-J47)/I47,0)</f>
        <v>0.5510204081632653</v>
      </c>
      <c r="L47" t="s">
        <v>50</v>
      </c>
    </row>
    <row r="48" spans="1:12" x14ac:dyDescent="0.25">
      <c r="A48" t="s">
        <v>103</v>
      </c>
      <c r="B48" s="11">
        <v>46103</v>
      </c>
      <c r="C48" t="s">
        <v>10</v>
      </c>
      <c r="D48" t="s">
        <v>21</v>
      </c>
      <c r="E48" t="s">
        <v>52</v>
      </c>
      <c r="F48" t="str">
        <f>_xlfn.XLOOKUP(E48,Products!$A:$A,Products!$B:$B,"?")</f>
        <v>Setup</v>
      </c>
      <c r="G48" t="str">
        <f>_xlfn.XLOOKUP(E48,Products!$A:$A,Products!$C:$C,"?")</f>
        <v>Services</v>
      </c>
      <c r="H48">
        <v>2</v>
      </c>
      <c r="I48" s="12">
        <f>H48*_xlfn.XLOOKUP(E48,Products!$A:$A,Products!$D:$D,0)</f>
        <v>900</v>
      </c>
      <c r="J48" s="12">
        <f>H48*_xlfn.XLOOKUP(E48,Products!$A:$A,Products!$E:$E,0)</f>
        <v>520</v>
      </c>
      <c r="K48" s="13">
        <f>IFERROR((I48-J48)/I48,0)</f>
        <v>0.4222222222222222</v>
      </c>
      <c r="L48" t="s">
        <v>50</v>
      </c>
    </row>
    <row r="49" spans="1:12" x14ac:dyDescent="0.25">
      <c r="A49" t="s">
        <v>104</v>
      </c>
      <c r="B49" s="11">
        <v>46093</v>
      </c>
      <c r="C49" t="s">
        <v>11</v>
      </c>
      <c r="D49" t="s">
        <v>19</v>
      </c>
      <c r="E49" t="s">
        <v>55</v>
      </c>
      <c r="F49" t="str">
        <f>_xlfn.XLOOKUP(E49,Products!$A:$A,Products!$B:$B,"?")</f>
        <v>Gadget</v>
      </c>
      <c r="G49" t="str">
        <f>_xlfn.XLOOKUP(E49,Products!$A:$A,Products!$C:$C,"?")</f>
        <v>Hardware</v>
      </c>
      <c r="H49">
        <v>82</v>
      </c>
      <c r="I49" s="12">
        <f>H49*_xlfn.XLOOKUP(E49,Products!$A:$A,Products!$D:$D,0)</f>
        <v>7298</v>
      </c>
      <c r="J49" s="12">
        <f>H49*_xlfn.XLOOKUP(E49,Products!$A:$A,Products!$E:$E,0)</f>
        <v>3854</v>
      </c>
      <c r="K49" s="13">
        <f>IFERROR((I49-J49)/I49,0)</f>
        <v>0.47191011235955055</v>
      </c>
      <c r="L49" t="s">
        <v>50</v>
      </c>
    </row>
    <row r="50" spans="1:12" x14ac:dyDescent="0.25">
      <c r="A50" t="s">
        <v>105</v>
      </c>
      <c r="B50" s="11">
        <v>46094</v>
      </c>
      <c r="C50" t="s">
        <v>8</v>
      </c>
      <c r="D50" t="s">
        <v>23</v>
      </c>
      <c r="E50" t="s">
        <v>55</v>
      </c>
      <c r="F50" t="str">
        <f>_xlfn.XLOOKUP(E50,Products!$A:$A,Products!$B:$B,"?")</f>
        <v>Gadget</v>
      </c>
      <c r="G50" t="str">
        <f>_xlfn.XLOOKUP(E50,Products!$A:$A,Products!$C:$C,"?")</f>
        <v>Hardware</v>
      </c>
      <c r="H50">
        <v>27</v>
      </c>
      <c r="I50" s="12">
        <f>H50*_xlfn.XLOOKUP(E50,Products!$A:$A,Products!$D:$D,0)</f>
        <v>2403</v>
      </c>
      <c r="J50" s="12">
        <f>H50*_xlfn.XLOOKUP(E50,Products!$A:$A,Products!$E:$E,0)</f>
        <v>1269</v>
      </c>
      <c r="K50" s="13">
        <f>IFERROR((I50-J50)/I50,0)</f>
        <v>0.47191011235955055</v>
      </c>
      <c r="L50" t="s">
        <v>58</v>
      </c>
    </row>
    <row r="51" spans="1:12" x14ac:dyDescent="0.25">
      <c r="A51" t="s">
        <v>106</v>
      </c>
      <c r="B51" s="11">
        <v>46091</v>
      </c>
      <c r="C51" t="s">
        <v>10</v>
      </c>
      <c r="D51" t="s">
        <v>21</v>
      </c>
      <c r="E51" t="s">
        <v>52</v>
      </c>
      <c r="F51" t="str">
        <f>_xlfn.XLOOKUP(E51,Products!$A:$A,Products!$B:$B,"?")</f>
        <v>Setup</v>
      </c>
      <c r="G51" t="str">
        <f>_xlfn.XLOOKUP(E51,Products!$A:$A,Products!$C:$C,"?")</f>
        <v>Services</v>
      </c>
      <c r="H51">
        <v>3</v>
      </c>
      <c r="I51" s="12">
        <f>H51*_xlfn.XLOOKUP(E51,Products!$A:$A,Products!$D:$D,0)</f>
        <v>1350</v>
      </c>
      <c r="J51" s="12">
        <f>H51*_xlfn.XLOOKUP(E51,Products!$A:$A,Products!$E:$E,0)</f>
        <v>780</v>
      </c>
      <c r="K51" s="13">
        <f>IFERROR((I51-J51)/I51,0)</f>
        <v>0.4222222222222222</v>
      </c>
      <c r="L51" t="s">
        <v>58</v>
      </c>
    </row>
    <row r="52" spans="1:12" x14ac:dyDescent="0.25">
      <c r="A52" t="s">
        <v>107</v>
      </c>
      <c r="B52" s="11">
        <v>46098</v>
      </c>
      <c r="C52" t="s">
        <v>8</v>
      </c>
      <c r="D52" t="s">
        <v>23</v>
      </c>
      <c r="E52" t="s">
        <v>66</v>
      </c>
      <c r="F52" t="str">
        <f>_xlfn.XLOOKUP(E52,Products!$A:$A,Products!$B:$B,"?")</f>
        <v>Cloud Seat Plus</v>
      </c>
      <c r="G52" t="str">
        <f>_xlfn.XLOOKUP(E52,Products!$A:$A,Products!$C:$C,"?")</f>
        <v>Software</v>
      </c>
      <c r="H52">
        <v>53</v>
      </c>
      <c r="I52" s="12">
        <f>H52*_xlfn.XLOOKUP(E52,Products!$A:$A,Products!$D:$D,0)</f>
        <v>2915</v>
      </c>
      <c r="J52" s="12">
        <f>H52*_xlfn.XLOOKUP(E52,Products!$A:$A,Products!$E:$E,0)</f>
        <v>371</v>
      </c>
      <c r="K52" s="13">
        <f>IFERROR((I52-J52)/I52,0)</f>
        <v>0.8727272727272727</v>
      </c>
      <c r="L52" t="s">
        <v>58</v>
      </c>
    </row>
    <row r="53" spans="1:12" x14ac:dyDescent="0.25">
      <c r="A53" t="s">
        <v>108</v>
      </c>
      <c r="B53" s="11">
        <v>46103</v>
      </c>
      <c r="C53" t="s">
        <v>8</v>
      </c>
      <c r="D53" t="s">
        <v>48</v>
      </c>
      <c r="E53" t="s">
        <v>55</v>
      </c>
      <c r="F53" t="str">
        <f>_xlfn.XLOOKUP(E53,Products!$A:$A,Products!$B:$B,"?")</f>
        <v>Gadget</v>
      </c>
      <c r="G53" t="str">
        <f>_xlfn.XLOOKUP(E53,Products!$A:$A,Products!$C:$C,"?")</f>
        <v>Hardware</v>
      </c>
      <c r="H53">
        <v>10</v>
      </c>
      <c r="I53" s="12">
        <f>H53*_xlfn.XLOOKUP(E53,Products!$A:$A,Products!$D:$D,0)</f>
        <v>890</v>
      </c>
      <c r="J53" s="12">
        <f>H53*_xlfn.XLOOKUP(E53,Products!$A:$A,Products!$E:$E,0)</f>
        <v>470</v>
      </c>
      <c r="K53" s="13">
        <f>IFERROR((I53-J53)/I53,0)</f>
        <v>0.47191011235955055</v>
      </c>
      <c r="L53" t="s">
        <v>58</v>
      </c>
    </row>
    <row r="54" spans="1:12" x14ac:dyDescent="0.25">
      <c r="A54" t="s">
        <v>109</v>
      </c>
      <c r="B54" s="11">
        <v>46093</v>
      </c>
      <c r="C54" t="s">
        <v>8</v>
      </c>
      <c r="D54" t="s">
        <v>23</v>
      </c>
      <c r="E54" t="s">
        <v>57</v>
      </c>
      <c r="F54" t="str">
        <f>_xlfn.XLOOKUP(E54,Products!$A:$A,Products!$B:$B,"?")</f>
        <v>Training day</v>
      </c>
      <c r="G54" t="str">
        <f>_xlfn.XLOOKUP(E54,Products!$A:$A,Products!$C:$C,"?")</f>
        <v>Services</v>
      </c>
      <c r="H54">
        <v>2</v>
      </c>
      <c r="I54" s="12">
        <f>H54*_xlfn.XLOOKUP(E54,Products!$A:$A,Products!$D:$D,0)</f>
        <v>2400</v>
      </c>
      <c r="J54" s="12">
        <f>H54*_xlfn.XLOOKUP(E54,Products!$A:$A,Products!$E:$E,0)</f>
        <v>1280</v>
      </c>
      <c r="K54" s="13">
        <f>IFERROR((I54-J54)/I54,0)</f>
        <v>0.4666666666666667</v>
      </c>
      <c r="L54" t="s">
        <v>50</v>
      </c>
    </row>
    <row r="55" spans="1:12" x14ac:dyDescent="0.25">
      <c r="A55" t="s">
        <v>110</v>
      </c>
      <c r="B55" s="11">
        <v>46084</v>
      </c>
      <c r="C55" t="s">
        <v>10</v>
      </c>
      <c r="D55" t="s">
        <v>21</v>
      </c>
      <c r="E55" t="s">
        <v>52</v>
      </c>
      <c r="F55" t="str">
        <f>_xlfn.XLOOKUP(E55,Products!$A:$A,Products!$B:$B,"?")</f>
        <v>Setup</v>
      </c>
      <c r="G55" t="str">
        <f>_xlfn.XLOOKUP(E55,Products!$A:$A,Products!$C:$C,"?")</f>
        <v>Services</v>
      </c>
      <c r="H55">
        <v>3</v>
      </c>
      <c r="I55" s="12">
        <f>H55*_xlfn.XLOOKUP(E55,Products!$A:$A,Products!$D:$D,0)</f>
        <v>1350</v>
      </c>
      <c r="J55" s="12">
        <f>H55*_xlfn.XLOOKUP(E55,Products!$A:$A,Products!$E:$E,0)</f>
        <v>780</v>
      </c>
      <c r="K55" s="13">
        <f>IFERROR((I55-J55)/I55,0)</f>
        <v>0.4222222222222222</v>
      </c>
      <c r="L55" t="s">
        <v>58</v>
      </c>
    </row>
    <row r="56" spans="1:12" x14ac:dyDescent="0.25">
      <c r="A56" t="s">
        <v>111</v>
      </c>
      <c r="B56" s="11">
        <v>46102</v>
      </c>
      <c r="C56" t="s">
        <v>11</v>
      </c>
      <c r="D56" t="s">
        <v>19</v>
      </c>
      <c r="E56" t="s">
        <v>52</v>
      </c>
      <c r="F56" t="str">
        <f>_xlfn.XLOOKUP(E56,Products!$A:$A,Products!$B:$B,"?")</f>
        <v>Setup</v>
      </c>
      <c r="G56" t="str">
        <f>_xlfn.XLOOKUP(E56,Products!$A:$A,Products!$C:$C,"?")</f>
        <v>Services</v>
      </c>
      <c r="H56">
        <v>2</v>
      </c>
      <c r="I56" s="12">
        <f>H56*_xlfn.XLOOKUP(E56,Products!$A:$A,Products!$D:$D,0)</f>
        <v>900</v>
      </c>
      <c r="J56" s="12">
        <f>H56*_xlfn.XLOOKUP(E56,Products!$A:$A,Products!$E:$E,0)</f>
        <v>520</v>
      </c>
      <c r="K56" s="13">
        <f>IFERROR((I56-J56)/I56,0)</f>
        <v>0.4222222222222222</v>
      </c>
      <c r="L56" t="s">
        <v>58</v>
      </c>
    </row>
    <row r="57" spans="1:12" x14ac:dyDescent="0.25">
      <c r="A57" t="s">
        <v>112</v>
      </c>
      <c r="B57" s="11">
        <v>46082</v>
      </c>
      <c r="C57" t="s">
        <v>8</v>
      </c>
      <c r="D57" t="s">
        <v>23</v>
      </c>
      <c r="E57" t="s">
        <v>55</v>
      </c>
      <c r="F57" t="str">
        <f>_xlfn.XLOOKUP(E57,Products!$A:$A,Products!$B:$B,"?")</f>
        <v>Gadget</v>
      </c>
      <c r="G57" t="str">
        <f>_xlfn.XLOOKUP(E57,Products!$A:$A,Products!$C:$C,"?")</f>
        <v>Hardware</v>
      </c>
      <c r="H57">
        <v>27</v>
      </c>
      <c r="I57" s="12">
        <f>H57*_xlfn.XLOOKUP(E57,Products!$A:$A,Products!$D:$D,0)</f>
        <v>2403</v>
      </c>
      <c r="J57" s="12">
        <f>H57*_xlfn.XLOOKUP(E57,Products!$A:$A,Products!$E:$E,0)</f>
        <v>1269</v>
      </c>
      <c r="K57" s="13">
        <f>IFERROR((I57-J57)/I57,0)</f>
        <v>0.47191011235955055</v>
      </c>
      <c r="L57" t="s">
        <v>50</v>
      </c>
    </row>
    <row r="58" spans="1:12" x14ac:dyDescent="0.25">
      <c r="A58" t="s">
        <v>113</v>
      </c>
      <c r="B58" s="11">
        <v>46101</v>
      </c>
      <c r="C58" t="s">
        <v>9</v>
      </c>
      <c r="D58" t="s">
        <v>17</v>
      </c>
      <c r="E58" t="s">
        <v>78</v>
      </c>
      <c r="F58" t="str">
        <f>_xlfn.XLOOKUP(E58,Products!$A:$A,Products!$B:$B,"?")</f>
        <v>Cloud Seat</v>
      </c>
      <c r="G58" t="str">
        <f>_xlfn.XLOOKUP(E58,Products!$A:$A,Products!$C:$C,"?")</f>
        <v>Software</v>
      </c>
      <c r="H58">
        <v>17</v>
      </c>
      <c r="I58" s="12">
        <f>H58*_xlfn.XLOOKUP(E58,Products!$A:$A,Products!$D:$D,0)</f>
        <v>510</v>
      </c>
      <c r="J58" s="12">
        <f>H58*_xlfn.XLOOKUP(E58,Products!$A:$A,Products!$E:$E,0)</f>
        <v>68</v>
      </c>
      <c r="K58" s="13">
        <f>IFERROR((I58-J58)/I58,0)</f>
        <v>0.8666666666666667</v>
      </c>
      <c r="L58" t="s">
        <v>58</v>
      </c>
    </row>
    <row r="59" spans="1:12" x14ac:dyDescent="0.25">
      <c r="A59" t="s">
        <v>114</v>
      </c>
      <c r="B59" s="11">
        <v>46108</v>
      </c>
      <c r="C59" t="s">
        <v>8</v>
      </c>
      <c r="D59" t="s">
        <v>23</v>
      </c>
      <c r="E59" t="s">
        <v>68</v>
      </c>
      <c r="F59" t="str">
        <f>_xlfn.XLOOKUP(E59,Products!$A:$A,Products!$B:$B,"?")</f>
        <v>Widget Pro</v>
      </c>
      <c r="G59" t="str">
        <f>_xlfn.XLOOKUP(E59,Products!$A:$A,Products!$C:$C,"?")</f>
        <v>Hardware</v>
      </c>
      <c r="H59">
        <v>39</v>
      </c>
      <c r="I59" s="12">
        <f>H59*_xlfn.XLOOKUP(E59,Products!$A:$A,Products!$D:$D,0)</f>
        <v>1911</v>
      </c>
      <c r="J59" s="12">
        <f>H59*_xlfn.XLOOKUP(E59,Products!$A:$A,Products!$E:$E,0)</f>
        <v>858</v>
      </c>
      <c r="K59" s="13">
        <f>IFERROR((I59-J59)/I59,0)</f>
        <v>0.5510204081632653</v>
      </c>
      <c r="L59" t="s">
        <v>50</v>
      </c>
    </row>
    <row r="60" spans="1:12" x14ac:dyDescent="0.25">
      <c r="A60" t="s">
        <v>115</v>
      </c>
      <c r="B60" s="11">
        <v>46105</v>
      </c>
      <c r="C60" t="s">
        <v>11</v>
      </c>
      <c r="D60" t="s">
        <v>19</v>
      </c>
      <c r="E60" t="s">
        <v>57</v>
      </c>
      <c r="F60" t="str">
        <f>_xlfn.XLOOKUP(E60,Products!$A:$A,Products!$B:$B,"?")</f>
        <v>Training day</v>
      </c>
      <c r="G60" t="str">
        <f>_xlfn.XLOOKUP(E60,Products!$A:$A,Products!$C:$C,"?")</f>
        <v>Services</v>
      </c>
      <c r="H60">
        <v>1</v>
      </c>
      <c r="I60" s="12">
        <f>H60*_xlfn.XLOOKUP(E60,Products!$A:$A,Products!$D:$D,0)</f>
        <v>1200</v>
      </c>
      <c r="J60" s="12">
        <f>H60*_xlfn.XLOOKUP(E60,Products!$A:$A,Products!$E:$E,0)</f>
        <v>640</v>
      </c>
      <c r="K60" s="13">
        <f>IFERROR((I60-J60)/I60,0)</f>
        <v>0.4666666666666667</v>
      </c>
      <c r="L60" t="s">
        <v>6</v>
      </c>
    </row>
    <row r="61" spans="1:12" x14ac:dyDescent="0.25">
      <c r="A61" t="s">
        <v>116</v>
      </c>
      <c r="B61" s="11">
        <v>46091</v>
      </c>
      <c r="C61" t="s">
        <v>9</v>
      </c>
      <c r="D61" t="s">
        <v>17</v>
      </c>
      <c r="E61" t="s">
        <v>78</v>
      </c>
      <c r="F61" t="str">
        <f>_xlfn.XLOOKUP(E61,Products!$A:$A,Products!$B:$B,"?")</f>
        <v>Cloud Seat</v>
      </c>
      <c r="G61" t="str">
        <f>_xlfn.XLOOKUP(E61,Products!$A:$A,Products!$C:$C,"?")</f>
        <v>Software</v>
      </c>
      <c r="H61">
        <v>13</v>
      </c>
      <c r="I61" s="12">
        <f>H61*_xlfn.XLOOKUP(E61,Products!$A:$A,Products!$D:$D,0)</f>
        <v>390</v>
      </c>
      <c r="J61" s="12">
        <f>H61*_xlfn.XLOOKUP(E61,Products!$A:$A,Products!$E:$E,0)</f>
        <v>52</v>
      </c>
      <c r="K61" s="13">
        <f>IFERROR((I61-J61)/I61,0)</f>
        <v>0.8666666666666667</v>
      </c>
      <c r="L61" t="s">
        <v>50</v>
      </c>
    </row>
    <row r="62" spans="1:12" x14ac:dyDescent="0.25">
      <c r="A62" t="s">
        <v>117</v>
      </c>
      <c r="B62" s="11">
        <v>46122</v>
      </c>
      <c r="C62" t="s">
        <v>10</v>
      </c>
      <c r="D62" t="s">
        <v>21</v>
      </c>
      <c r="E62" t="s">
        <v>49</v>
      </c>
      <c r="F62" t="str">
        <f>_xlfn.XLOOKUP(E62,Products!$A:$A,Products!$B:$B,"?")</f>
        <v>Widget</v>
      </c>
      <c r="G62" t="str">
        <f>_xlfn.XLOOKUP(E62,Products!$A:$A,Products!$C:$C,"?")</f>
        <v>Hardware</v>
      </c>
      <c r="H62">
        <v>46</v>
      </c>
      <c r="I62" s="12">
        <f>H62*_xlfn.XLOOKUP(E62,Products!$A:$A,Products!$D:$D,0)</f>
        <v>1104</v>
      </c>
      <c r="J62" s="12">
        <f>H62*_xlfn.XLOOKUP(E62,Products!$A:$A,Products!$E:$E,0)</f>
        <v>506</v>
      </c>
      <c r="K62" s="13">
        <f>IFERROR((I62-J62)/I62,0)</f>
        <v>0.5416666666666666</v>
      </c>
      <c r="L62" t="s">
        <v>50</v>
      </c>
    </row>
    <row r="63" spans="1:12" x14ac:dyDescent="0.25">
      <c r="A63" t="s">
        <v>118</v>
      </c>
      <c r="B63" s="11">
        <v>46129</v>
      </c>
      <c r="C63" t="s">
        <v>11</v>
      </c>
      <c r="D63" t="s">
        <v>19</v>
      </c>
      <c r="E63" t="s">
        <v>78</v>
      </c>
      <c r="F63" t="str">
        <f>_xlfn.XLOOKUP(E63,Products!$A:$A,Products!$B:$B,"?")</f>
        <v>Cloud Seat</v>
      </c>
      <c r="G63" t="str">
        <f>_xlfn.XLOOKUP(E63,Products!$A:$A,Products!$C:$C,"?")</f>
        <v>Software</v>
      </c>
      <c r="H63">
        <v>34</v>
      </c>
      <c r="I63" s="12">
        <f>H63*_xlfn.XLOOKUP(E63,Products!$A:$A,Products!$D:$D,0)</f>
        <v>1020</v>
      </c>
      <c r="J63" s="12">
        <f>H63*_xlfn.XLOOKUP(E63,Products!$A:$A,Products!$E:$E,0)</f>
        <v>136</v>
      </c>
      <c r="K63" s="13">
        <f>IFERROR((I63-J63)/I63,0)</f>
        <v>0.8666666666666667</v>
      </c>
      <c r="L63" t="s">
        <v>50</v>
      </c>
    </row>
    <row r="64" spans="1:12" x14ac:dyDescent="0.25">
      <c r="A64" t="s">
        <v>119</v>
      </c>
      <c r="B64" s="11">
        <v>46118</v>
      </c>
      <c r="C64" t="s">
        <v>9</v>
      </c>
      <c r="D64" t="s">
        <v>17</v>
      </c>
      <c r="E64" t="s">
        <v>49</v>
      </c>
      <c r="F64" t="str">
        <f>_xlfn.XLOOKUP(E64,Products!$A:$A,Products!$B:$B,"?")</f>
        <v>Widget</v>
      </c>
      <c r="G64" t="str">
        <f>_xlfn.XLOOKUP(E64,Products!$A:$A,Products!$C:$C,"?")</f>
        <v>Hardware</v>
      </c>
      <c r="H64">
        <v>17</v>
      </c>
      <c r="I64" s="12">
        <f>H64*_xlfn.XLOOKUP(E64,Products!$A:$A,Products!$D:$D,0)</f>
        <v>408</v>
      </c>
      <c r="J64" s="12">
        <f>H64*_xlfn.XLOOKUP(E64,Products!$A:$A,Products!$E:$E,0)</f>
        <v>187</v>
      </c>
      <c r="K64" s="13">
        <f>IFERROR((I64-J64)/I64,0)</f>
        <v>0.5416666666666666</v>
      </c>
      <c r="L64" t="s">
        <v>50</v>
      </c>
    </row>
    <row r="65" spans="1:12" x14ac:dyDescent="0.25">
      <c r="A65" t="s">
        <v>120</v>
      </c>
      <c r="B65" s="11">
        <v>46133</v>
      </c>
      <c r="C65" t="s">
        <v>8</v>
      </c>
      <c r="D65" t="s">
        <v>23</v>
      </c>
      <c r="E65" t="s">
        <v>68</v>
      </c>
      <c r="F65" t="str">
        <f>_xlfn.XLOOKUP(E65,Products!$A:$A,Products!$B:$B,"?")</f>
        <v>Widget Pro</v>
      </c>
      <c r="G65" t="str">
        <f>_xlfn.XLOOKUP(E65,Products!$A:$A,Products!$C:$C,"?")</f>
        <v>Hardware</v>
      </c>
      <c r="H65">
        <v>62</v>
      </c>
      <c r="I65" s="12">
        <f>H65*_xlfn.XLOOKUP(E65,Products!$A:$A,Products!$D:$D,0)</f>
        <v>3038</v>
      </c>
      <c r="J65" s="12">
        <f>H65*_xlfn.XLOOKUP(E65,Products!$A:$A,Products!$E:$E,0)</f>
        <v>1364</v>
      </c>
      <c r="K65" s="13">
        <f>IFERROR((I65-J65)/I65,0)</f>
        <v>0.5510204081632653</v>
      </c>
      <c r="L65" t="s">
        <v>6</v>
      </c>
    </row>
    <row r="66" spans="1:12" x14ac:dyDescent="0.25">
      <c r="A66" t="s">
        <v>121</v>
      </c>
      <c r="B66" s="11">
        <v>46129</v>
      </c>
      <c r="C66" t="s">
        <v>8</v>
      </c>
      <c r="D66" t="s">
        <v>48</v>
      </c>
      <c r="E66" t="s">
        <v>55</v>
      </c>
      <c r="F66" t="str">
        <f>_xlfn.XLOOKUP(E66,Products!$A:$A,Products!$B:$B,"?")</f>
        <v>Gadget</v>
      </c>
      <c r="G66" t="str">
        <f>_xlfn.XLOOKUP(E66,Products!$A:$A,Products!$C:$C,"?")</f>
        <v>Hardware</v>
      </c>
      <c r="H66">
        <v>66</v>
      </c>
      <c r="I66" s="12">
        <f>H66*_xlfn.XLOOKUP(E66,Products!$A:$A,Products!$D:$D,0)</f>
        <v>5874</v>
      </c>
      <c r="J66" s="12">
        <f>H66*_xlfn.XLOOKUP(E66,Products!$A:$A,Products!$E:$E,0)</f>
        <v>3102</v>
      </c>
      <c r="K66" s="13">
        <f>IFERROR((I66-J66)/I66,0)</f>
        <v>0.47191011235955055</v>
      </c>
      <c r="L66" t="s">
        <v>50</v>
      </c>
    </row>
    <row r="67" spans="1:12" x14ac:dyDescent="0.25">
      <c r="A67" t="s">
        <v>122</v>
      </c>
      <c r="B67" s="11">
        <v>46113</v>
      </c>
      <c r="C67" t="s">
        <v>11</v>
      </c>
      <c r="D67" t="s">
        <v>20</v>
      </c>
      <c r="E67" t="s">
        <v>52</v>
      </c>
      <c r="F67" t="str">
        <f>_xlfn.XLOOKUP(E67,Products!$A:$A,Products!$B:$B,"?")</f>
        <v>Setup</v>
      </c>
      <c r="G67" t="str">
        <f>_xlfn.XLOOKUP(E67,Products!$A:$A,Products!$C:$C,"?")</f>
        <v>Services</v>
      </c>
      <c r="H67">
        <v>3</v>
      </c>
      <c r="I67" s="12">
        <f>H67*_xlfn.XLOOKUP(E67,Products!$A:$A,Products!$D:$D,0)</f>
        <v>1350</v>
      </c>
      <c r="J67" s="12">
        <f>H67*_xlfn.XLOOKUP(E67,Products!$A:$A,Products!$E:$E,0)</f>
        <v>780</v>
      </c>
      <c r="K67" s="13">
        <f>IFERROR((I67-J67)/I67,0)</f>
        <v>0.4222222222222222</v>
      </c>
      <c r="L67" t="s">
        <v>50</v>
      </c>
    </row>
    <row r="68" spans="1:12" x14ac:dyDescent="0.25">
      <c r="A68" t="s">
        <v>123</v>
      </c>
      <c r="B68" s="11">
        <v>46129</v>
      </c>
      <c r="C68" t="s">
        <v>11</v>
      </c>
      <c r="D68" t="s">
        <v>20</v>
      </c>
      <c r="E68" t="s">
        <v>78</v>
      </c>
      <c r="F68" t="str">
        <f>_xlfn.XLOOKUP(E68,Products!$A:$A,Products!$B:$B,"?")</f>
        <v>Cloud Seat</v>
      </c>
      <c r="G68" t="str">
        <f>_xlfn.XLOOKUP(E68,Products!$A:$A,Products!$C:$C,"?")</f>
        <v>Software</v>
      </c>
      <c r="H68">
        <v>59</v>
      </c>
      <c r="I68" s="12">
        <f>H68*_xlfn.XLOOKUP(E68,Products!$A:$A,Products!$D:$D,0)</f>
        <v>1770</v>
      </c>
      <c r="J68" s="12">
        <f>H68*_xlfn.XLOOKUP(E68,Products!$A:$A,Products!$E:$E,0)</f>
        <v>236</v>
      </c>
      <c r="K68" s="13">
        <f>IFERROR((I68-J68)/I68,0)</f>
        <v>0.8666666666666667</v>
      </c>
      <c r="L68" t="s">
        <v>50</v>
      </c>
    </row>
    <row r="69" spans="1:12" x14ac:dyDescent="0.25">
      <c r="A69" t="s">
        <v>124</v>
      </c>
      <c r="B69" s="11">
        <v>46114</v>
      </c>
      <c r="C69" t="s">
        <v>9</v>
      </c>
      <c r="D69" t="s">
        <v>17</v>
      </c>
      <c r="E69" t="s">
        <v>68</v>
      </c>
      <c r="F69" t="str">
        <f>_xlfn.XLOOKUP(E69,Products!$A:$A,Products!$B:$B,"?")</f>
        <v>Widget Pro</v>
      </c>
      <c r="G69" t="str">
        <f>_xlfn.XLOOKUP(E69,Products!$A:$A,Products!$C:$C,"?")</f>
        <v>Hardware</v>
      </c>
      <c r="H69">
        <v>16</v>
      </c>
      <c r="I69" s="12">
        <f>H69*_xlfn.XLOOKUP(E69,Products!$A:$A,Products!$D:$D,0)</f>
        <v>784</v>
      </c>
      <c r="J69" s="12">
        <f>H69*_xlfn.XLOOKUP(E69,Products!$A:$A,Products!$E:$E,0)</f>
        <v>352</v>
      </c>
      <c r="K69" s="13">
        <f>IFERROR((I69-J69)/I69,0)</f>
        <v>0.5510204081632653</v>
      </c>
      <c r="L69" t="s">
        <v>6</v>
      </c>
    </row>
    <row r="70" spans="1:12" x14ac:dyDescent="0.25">
      <c r="A70" t="s">
        <v>125</v>
      </c>
      <c r="B70" s="11">
        <v>46138</v>
      </c>
      <c r="C70" t="s">
        <v>10</v>
      </c>
      <c r="D70" t="s">
        <v>21</v>
      </c>
      <c r="E70" t="s">
        <v>55</v>
      </c>
      <c r="F70" t="str">
        <f>_xlfn.XLOOKUP(E70,Products!$A:$A,Products!$B:$B,"?")</f>
        <v>Gadget</v>
      </c>
      <c r="G70" t="str">
        <f>_xlfn.XLOOKUP(E70,Products!$A:$A,Products!$C:$C,"?")</f>
        <v>Hardware</v>
      </c>
      <c r="H70">
        <v>61</v>
      </c>
      <c r="I70" s="12">
        <f>H70*_xlfn.XLOOKUP(E70,Products!$A:$A,Products!$D:$D,0)</f>
        <v>5429</v>
      </c>
      <c r="J70" s="12">
        <f>H70*_xlfn.XLOOKUP(E70,Products!$A:$A,Products!$E:$E,0)</f>
        <v>2867</v>
      </c>
      <c r="K70" s="13">
        <f>IFERROR((I70-J70)/I70,0)</f>
        <v>0.47191011235955055</v>
      </c>
      <c r="L70" t="s">
        <v>50</v>
      </c>
    </row>
    <row r="71" spans="1:12" x14ac:dyDescent="0.25">
      <c r="A71" t="s">
        <v>126</v>
      </c>
      <c r="B71" s="11">
        <v>46128</v>
      </c>
      <c r="C71" t="s">
        <v>10</v>
      </c>
      <c r="D71" t="s">
        <v>21</v>
      </c>
      <c r="E71" t="s">
        <v>49</v>
      </c>
      <c r="F71" t="str">
        <f>_xlfn.XLOOKUP(E71,Products!$A:$A,Products!$B:$B,"?")</f>
        <v>Widget</v>
      </c>
      <c r="G71" t="str">
        <f>_xlfn.XLOOKUP(E71,Products!$A:$A,Products!$C:$C,"?")</f>
        <v>Hardware</v>
      </c>
      <c r="H71">
        <v>66</v>
      </c>
      <c r="I71" s="12">
        <f>H71*_xlfn.XLOOKUP(E71,Products!$A:$A,Products!$D:$D,0)</f>
        <v>1584</v>
      </c>
      <c r="J71" s="12">
        <f>H71*_xlfn.XLOOKUP(E71,Products!$A:$A,Products!$E:$E,0)</f>
        <v>726</v>
      </c>
      <c r="K71" s="13">
        <f>IFERROR((I71-J71)/I71,0)</f>
        <v>0.5416666666666666</v>
      </c>
      <c r="L71" t="s">
        <v>50</v>
      </c>
    </row>
    <row r="72" spans="1:12" x14ac:dyDescent="0.25">
      <c r="A72" t="s">
        <v>127</v>
      </c>
      <c r="B72" s="11">
        <v>46115</v>
      </c>
      <c r="C72" t="s">
        <v>10</v>
      </c>
      <c r="D72" t="s">
        <v>21</v>
      </c>
      <c r="E72" t="s">
        <v>55</v>
      </c>
      <c r="F72" t="str">
        <f>_xlfn.XLOOKUP(E72,Products!$A:$A,Products!$B:$B,"?")</f>
        <v>Gadget</v>
      </c>
      <c r="G72" t="str">
        <f>_xlfn.XLOOKUP(E72,Products!$A:$A,Products!$C:$C,"?")</f>
        <v>Hardware</v>
      </c>
      <c r="H72">
        <v>22</v>
      </c>
      <c r="I72" s="12">
        <f>H72*_xlfn.XLOOKUP(E72,Products!$A:$A,Products!$D:$D,0)</f>
        <v>1958</v>
      </c>
      <c r="J72" s="12">
        <f>H72*_xlfn.XLOOKUP(E72,Products!$A:$A,Products!$E:$E,0)</f>
        <v>1034</v>
      </c>
      <c r="K72" s="13">
        <f>IFERROR((I72-J72)/I72,0)</f>
        <v>0.47191011235955055</v>
      </c>
      <c r="L72" t="s">
        <v>50</v>
      </c>
    </row>
    <row r="73" spans="1:12" x14ac:dyDescent="0.25">
      <c r="A73" t="s">
        <v>128</v>
      </c>
      <c r="B73" s="11">
        <v>46138</v>
      </c>
      <c r="C73" t="s">
        <v>8</v>
      </c>
      <c r="D73" t="s">
        <v>23</v>
      </c>
      <c r="E73" t="s">
        <v>55</v>
      </c>
      <c r="F73" t="str">
        <f>_xlfn.XLOOKUP(E73,Products!$A:$A,Products!$B:$B,"?")</f>
        <v>Gadget</v>
      </c>
      <c r="G73" t="str">
        <f>_xlfn.XLOOKUP(E73,Products!$A:$A,Products!$C:$C,"?")</f>
        <v>Hardware</v>
      </c>
      <c r="H73">
        <v>14</v>
      </c>
      <c r="I73" s="12">
        <f>H73*_xlfn.XLOOKUP(E73,Products!$A:$A,Products!$D:$D,0)</f>
        <v>1246</v>
      </c>
      <c r="J73" s="12">
        <f>H73*_xlfn.XLOOKUP(E73,Products!$A:$A,Products!$E:$E,0)</f>
        <v>658</v>
      </c>
      <c r="K73" s="13">
        <f>IFERROR((I73-J73)/I73,0)</f>
        <v>0.47191011235955055</v>
      </c>
      <c r="L73" t="s">
        <v>50</v>
      </c>
    </row>
    <row r="74" spans="1:12" x14ac:dyDescent="0.25">
      <c r="A74" t="s">
        <v>129</v>
      </c>
      <c r="B74" s="11">
        <v>46127</v>
      </c>
      <c r="C74" t="s">
        <v>8</v>
      </c>
      <c r="D74" t="s">
        <v>48</v>
      </c>
      <c r="E74" t="s">
        <v>52</v>
      </c>
      <c r="F74" t="str">
        <f>_xlfn.XLOOKUP(E74,Products!$A:$A,Products!$B:$B,"?")</f>
        <v>Setup</v>
      </c>
      <c r="G74" t="str">
        <f>_xlfn.XLOOKUP(E74,Products!$A:$A,Products!$C:$C,"?")</f>
        <v>Services</v>
      </c>
      <c r="H74">
        <v>1</v>
      </c>
      <c r="I74" s="12">
        <f>H74*_xlfn.XLOOKUP(E74,Products!$A:$A,Products!$D:$D,0)</f>
        <v>450</v>
      </c>
      <c r="J74" s="12">
        <f>H74*_xlfn.XLOOKUP(E74,Products!$A:$A,Products!$E:$E,0)</f>
        <v>260</v>
      </c>
      <c r="K74" s="13">
        <f>IFERROR((I74-J74)/I74,0)</f>
        <v>0.4222222222222222</v>
      </c>
      <c r="L74" t="s">
        <v>58</v>
      </c>
    </row>
    <row r="75" spans="1:12" x14ac:dyDescent="0.25">
      <c r="A75" t="s">
        <v>130</v>
      </c>
      <c r="B75" s="11">
        <v>46124</v>
      </c>
      <c r="C75" t="s">
        <v>9</v>
      </c>
      <c r="D75" t="s">
        <v>17</v>
      </c>
      <c r="E75" t="s">
        <v>68</v>
      </c>
      <c r="F75" t="str">
        <f>_xlfn.XLOOKUP(E75,Products!$A:$A,Products!$B:$B,"?")</f>
        <v>Widget Pro</v>
      </c>
      <c r="G75" t="str">
        <f>_xlfn.XLOOKUP(E75,Products!$A:$A,Products!$C:$C,"?")</f>
        <v>Hardware</v>
      </c>
      <c r="H75">
        <v>79</v>
      </c>
      <c r="I75" s="12">
        <f>H75*_xlfn.XLOOKUP(E75,Products!$A:$A,Products!$D:$D,0)</f>
        <v>3871</v>
      </c>
      <c r="J75" s="12">
        <f>H75*_xlfn.XLOOKUP(E75,Products!$A:$A,Products!$E:$E,0)</f>
        <v>1738</v>
      </c>
      <c r="K75" s="13">
        <f>IFERROR((I75-J75)/I75,0)</f>
        <v>0.5510204081632653</v>
      </c>
      <c r="L75" t="s">
        <v>50</v>
      </c>
    </row>
    <row r="76" spans="1:12" x14ac:dyDescent="0.25">
      <c r="A76" t="s">
        <v>131</v>
      </c>
      <c r="B76" s="11">
        <v>46120</v>
      </c>
      <c r="C76" t="s">
        <v>11</v>
      </c>
      <c r="D76" t="s">
        <v>20</v>
      </c>
      <c r="E76" t="s">
        <v>49</v>
      </c>
      <c r="F76" t="str">
        <f>_xlfn.XLOOKUP(E76,Products!$A:$A,Products!$B:$B,"?")</f>
        <v>Widget</v>
      </c>
      <c r="G76" t="str">
        <f>_xlfn.XLOOKUP(E76,Products!$A:$A,Products!$C:$C,"?")</f>
        <v>Hardware</v>
      </c>
      <c r="H76">
        <v>45</v>
      </c>
      <c r="I76" s="12">
        <f>H76*_xlfn.XLOOKUP(E76,Products!$A:$A,Products!$D:$D,0)</f>
        <v>1080</v>
      </c>
      <c r="J76" s="12">
        <f>H76*_xlfn.XLOOKUP(E76,Products!$A:$A,Products!$E:$E,0)</f>
        <v>495</v>
      </c>
      <c r="K76" s="13">
        <f>IFERROR((I76-J76)/I76,0)</f>
        <v>0.5416666666666666</v>
      </c>
      <c r="L76" t="s">
        <v>50</v>
      </c>
    </row>
    <row r="77" spans="1:12" x14ac:dyDescent="0.25">
      <c r="A77" t="s">
        <v>132</v>
      </c>
      <c r="B77" s="11">
        <v>46137</v>
      </c>
      <c r="C77" t="s">
        <v>8</v>
      </c>
      <c r="D77" t="s">
        <v>48</v>
      </c>
      <c r="E77" t="s">
        <v>49</v>
      </c>
      <c r="F77" t="str">
        <f>_xlfn.XLOOKUP(E77,Products!$A:$A,Products!$B:$B,"?")</f>
        <v>Widget</v>
      </c>
      <c r="G77" t="str">
        <f>_xlfn.XLOOKUP(E77,Products!$A:$A,Products!$C:$C,"?")</f>
        <v>Hardware</v>
      </c>
      <c r="H77">
        <v>33</v>
      </c>
      <c r="I77" s="12">
        <f>H77*_xlfn.XLOOKUP(E77,Products!$A:$A,Products!$D:$D,0)</f>
        <v>792</v>
      </c>
      <c r="J77" s="12">
        <f>H77*_xlfn.XLOOKUP(E77,Products!$A:$A,Products!$E:$E,0)</f>
        <v>363</v>
      </c>
      <c r="K77" s="13">
        <f>IFERROR((I77-J77)/I77,0)</f>
        <v>0.5416666666666666</v>
      </c>
      <c r="L77" t="s">
        <v>50</v>
      </c>
    </row>
    <row r="78" spans="1:12" x14ac:dyDescent="0.25">
      <c r="A78" t="s">
        <v>133</v>
      </c>
      <c r="B78" s="11">
        <v>46126</v>
      </c>
      <c r="C78" t="s">
        <v>8</v>
      </c>
      <c r="D78" t="s">
        <v>48</v>
      </c>
      <c r="E78" t="s">
        <v>49</v>
      </c>
      <c r="F78" t="str">
        <f>_xlfn.XLOOKUP(E78,Products!$A:$A,Products!$B:$B,"?")</f>
        <v>Widget</v>
      </c>
      <c r="G78" t="str">
        <f>_xlfn.XLOOKUP(E78,Products!$A:$A,Products!$C:$C,"?")</f>
        <v>Hardware</v>
      </c>
      <c r="H78">
        <v>73</v>
      </c>
      <c r="I78" s="12">
        <f>H78*_xlfn.XLOOKUP(E78,Products!$A:$A,Products!$D:$D,0)</f>
        <v>1752</v>
      </c>
      <c r="J78" s="12">
        <f>H78*_xlfn.XLOOKUP(E78,Products!$A:$A,Products!$E:$E,0)</f>
        <v>803</v>
      </c>
      <c r="K78" s="13">
        <f>IFERROR((I78-J78)/I78,0)</f>
        <v>0.5416666666666666</v>
      </c>
      <c r="L78" t="s">
        <v>50</v>
      </c>
    </row>
    <row r="79" spans="1:12" x14ac:dyDescent="0.25">
      <c r="A79" t="s">
        <v>134</v>
      </c>
      <c r="B79" s="11">
        <v>46126</v>
      </c>
      <c r="C79" t="s">
        <v>10</v>
      </c>
      <c r="D79" t="s">
        <v>21</v>
      </c>
      <c r="E79" t="s">
        <v>49</v>
      </c>
      <c r="F79" t="str">
        <f>_xlfn.XLOOKUP(E79,Products!$A:$A,Products!$B:$B,"?")</f>
        <v>Widget</v>
      </c>
      <c r="G79" t="str">
        <f>_xlfn.XLOOKUP(E79,Products!$A:$A,Products!$C:$C,"?")</f>
        <v>Hardware</v>
      </c>
      <c r="H79">
        <v>57</v>
      </c>
      <c r="I79" s="12">
        <f>H79*_xlfn.XLOOKUP(E79,Products!$A:$A,Products!$D:$D,0)</f>
        <v>1368</v>
      </c>
      <c r="J79" s="12">
        <f>H79*_xlfn.XLOOKUP(E79,Products!$A:$A,Products!$E:$E,0)</f>
        <v>627</v>
      </c>
      <c r="K79" s="13">
        <f>IFERROR((I79-J79)/I79,0)</f>
        <v>0.5416666666666666</v>
      </c>
      <c r="L79" t="s">
        <v>58</v>
      </c>
    </row>
    <row r="80" spans="1:12" x14ac:dyDescent="0.25">
      <c r="A80" t="s">
        <v>135</v>
      </c>
      <c r="B80" s="11">
        <v>46122</v>
      </c>
      <c r="C80" t="s">
        <v>11</v>
      </c>
      <c r="D80" t="s">
        <v>20</v>
      </c>
      <c r="E80" t="s">
        <v>68</v>
      </c>
      <c r="F80" t="str">
        <f>_xlfn.XLOOKUP(E80,Products!$A:$A,Products!$B:$B,"?")</f>
        <v>Widget Pro</v>
      </c>
      <c r="G80" t="str">
        <f>_xlfn.XLOOKUP(E80,Products!$A:$A,Products!$C:$C,"?")</f>
        <v>Hardware</v>
      </c>
      <c r="H80">
        <v>30</v>
      </c>
      <c r="I80" s="12">
        <f>H80*_xlfn.XLOOKUP(E80,Products!$A:$A,Products!$D:$D,0)</f>
        <v>1470</v>
      </c>
      <c r="J80" s="12">
        <f>H80*_xlfn.XLOOKUP(E80,Products!$A:$A,Products!$E:$E,0)</f>
        <v>660</v>
      </c>
      <c r="K80" s="13">
        <f>IFERROR((I80-J80)/I80,0)</f>
        <v>0.5510204081632653</v>
      </c>
      <c r="L80" t="s">
        <v>50</v>
      </c>
    </row>
    <row r="81" spans="1:12" x14ac:dyDescent="0.25">
      <c r="A81" t="s">
        <v>136</v>
      </c>
      <c r="B81" s="11">
        <v>46118</v>
      </c>
      <c r="C81" t="s">
        <v>9</v>
      </c>
      <c r="D81" t="s">
        <v>17</v>
      </c>
      <c r="E81" t="s">
        <v>57</v>
      </c>
      <c r="F81" t="str">
        <f>_xlfn.XLOOKUP(E81,Products!$A:$A,Products!$B:$B,"?")</f>
        <v>Training day</v>
      </c>
      <c r="G81" t="str">
        <f>_xlfn.XLOOKUP(E81,Products!$A:$A,Products!$C:$C,"?")</f>
        <v>Services</v>
      </c>
      <c r="H81">
        <v>3</v>
      </c>
      <c r="I81" s="12">
        <f>H81*_xlfn.XLOOKUP(E81,Products!$A:$A,Products!$D:$D,0)</f>
        <v>3600</v>
      </c>
      <c r="J81" s="12">
        <f>H81*_xlfn.XLOOKUP(E81,Products!$A:$A,Products!$E:$E,0)</f>
        <v>1920</v>
      </c>
      <c r="K81" s="13">
        <f>IFERROR((I81-J81)/I81,0)</f>
        <v>0.4666666666666667</v>
      </c>
      <c r="L81" t="s">
        <v>50</v>
      </c>
    </row>
    <row r="82" spans="1:12" x14ac:dyDescent="0.25">
      <c r="A82" t="s">
        <v>137</v>
      </c>
      <c r="B82" s="11">
        <v>46167</v>
      </c>
      <c r="C82" t="s">
        <v>8</v>
      </c>
      <c r="D82" t="s">
        <v>23</v>
      </c>
      <c r="E82" t="s">
        <v>52</v>
      </c>
      <c r="F82" t="str">
        <f>_xlfn.XLOOKUP(E82,Products!$A:$A,Products!$B:$B,"?")</f>
        <v>Setup</v>
      </c>
      <c r="G82" t="str">
        <f>_xlfn.XLOOKUP(E82,Products!$A:$A,Products!$C:$C,"?")</f>
        <v>Services</v>
      </c>
      <c r="H82">
        <v>1</v>
      </c>
      <c r="I82" s="12">
        <f>H82*_xlfn.XLOOKUP(E82,Products!$A:$A,Products!$D:$D,0)</f>
        <v>450</v>
      </c>
      <c r="J82" s="12">
        <f>H82*_xlfn.XLOOKUP(E82,Products!$A:$A,Products!$E:$E,0)</f>
        <v>260</v>
      </c>
      <c r="K82" s="13">
        <f>IFERROR((I82-J82)/I82,0)</f>
        <v>0.4222222222222222</v>
      </c>
      <c r="L82" t="s">
        <v>50</v>
      </c>
    </row>
    <row r="83" spans="1:12" x14ac:dyDescent="0.25">
      <c r="A83" t="s">
        <v>138</v>
      </c>
      <c r="B83" s="11">
        <v>46159</v>
      </c>
      <c r="C83" t="s">
        <v>9</v>
      </c>
      <c r="D83" t="s">
        <v>17</v>
      </c>
      <c r="E83" t="s">
        <v>57</v>
      </c>
      <c r="F83" t="str">
        <f>_xlfn.XLOOKUP(E83,Products!$A:$A,Products!$B:$B,"?")</f>
        <v>Training day</v>
      </c>
      <c r="G83" t="str">
        <f>_xlfn.XLOOKUP(E83,Products!$A:$A,Products!$C:$C,"?")</f>
        <v>Services</v>
      </c>
      <c r="H83">
        <v>2</v>
      </c>
      <c r="I83" s="12">
        <f>H83*_xlfn.XLOOKUP(E83,Products!$A:$A,Products!$D:$D,0)</f>
        <v>2400</v>
      </c>
      <c r="J83" s="12">
        <f>H83*_xlfn.XLOOKUP(E83,Products!$A:$A,Products!$E:$E,0)</f>
        <v>1280</v>
      </c>
      <c r="K83" s="13">
        <f>IFERROR((I83-J83)/I83,0)</f>
        <v>0.4666666666666667</v>
      </c>
      <c r="L83" t="s">
        <v>50</v>
      </c>
    </row>
    <row r="84" spans="1:12" x14ac:dyDescent="0.25">
      <c r="A84" t="s">
        <v>139</v>
      </c>
      <c r="B84" s="11">
        <v>46146</v>
      </c>
      <c r="C84" t="s">
        <v>11</v>
      </c>
      <c r="D84" t="s">
        <v>19</v>
      </c>
      <c r="E84" t="s">
        <v>49</v>
      </c>
      <c r="F84" t="str">
        <f>_xlfn.XLOOKUP(E84,Products!$A:$A,Products!$B:$B,"?")</f>
        <v>Widget</v>
      </c>
      <c r="G84" t="str">
        <f>_xlfn.XLOOKUP(E84,Products!$A:$A,Products!$C:$C,"?")</f>
        <v>Hardware</v>
      </c>
      <c r="H84">
        <v>50</v>
      </c>
      <c r="I84" s="12">
        <f>H84*_xlfn.XLOOKUP(E84,Products!$A:$A,Products!$D:$D,0)</f>
        <v>1200</v>
      </c>
      <c r="J84" s="12">
        <f>H84*_xlfn.XLOOKUP(E84,Products!$A:$A,Products!$E:$E,0)</f>
        <v>550</v>
      </c>
      <c r="K84" s="13">
        <f>IFERROR((I84-J84)/I84,0)</f>
        <v>0.5416666666666666</v>
      </c>
      <c r="L84" t="s">
        <v>50</v>
      </c>
    </row>
    <row r="85" spans="1:12" x14ac:dyDescent="0.25">
      <c r="A85" t="s">
        <v>140</v>
      </c>
      <c r="B85" s="11">
        <v>46165</v>
      </c>
      <c r="C85" t="s">
        <v>11</v>
      </c>
      <c r="D85" t="s">
        <v>19</v>
      </c>
      <c r="E85" t="s">
        <v>68</v>
      </c>
      <c r="F85" t="str">
        <f>_xlfn.XLOOKUP(E85,Products!$A:$A,Products!$B:$B,"?")</f>
        <v>Widget Pro</v>
      </c>
      <c r="G85" t="str">
        <f>_xlfn.XLOOKUP(E85,Products!$A:$A,Products!$C:$C,"?")</f>
        <v>Hardware</v>
      </c>
      <c r="H85">
        <v>27</v>
      </c>
      <c r="I85" s="12">
        <f>H85*_xlfn.XLOOKUP(E85,Products!$A:$A,Products!$D:$D,0)</f>
        <v>1323</v>
      </c>
      <c r="J85" s="12">
        <f>H85*_xlfn.XLOOKUP(E85,Products!$A:$A,Products!$E:$E,0)</f>
        <v>594</v>
      </c>
      <c r="K85" s="13">
        <f>IFERROR((I85-J85)/I85,0)</f>
        <v>0.5510204081632653</v>
      </c>
      <c r="L85" t="s">
        <v>50</v>
      </c>
    </row>
    <row r="86" spans="1:12" x14ac:dyDescent="0.25">
      <c r="A86" t="s">
        <v>141</v>
      </c>
      <c r="B86" s="11">
        <v>46146</v>
      </c>
      <c r="C86" t="s">
        <v>8</v>
      </c>
      <c r="D86" t="s">
        <v>48</v>
      </c>
      <c r="E86" t="s">
        <v>49</v>
      </c>
      <c r="F86" t="str">
        <f>_xlfn.XLOOKUP(E86,Products!$A:$A,Products!$B:$B,"?")</f>
        <v>Widget</v>
      </c>
      <c r="G86" t="str">
        <f>_xlfn.XLOOKUP(E86,Products!$A:$A,Products!$C:$C,"?")</f>
        <v>Hardware</v>
      </c>
      <c r="H86">
        <v>32</v>
      </c>
      <c r="I86" s="12">
        <f>H86*_xlfn.XLOOKUP(E86,Products!$A:$A,Products!$D:$D,0)</f>
        <v>768</v>
      </c>
      <c r="J86" s="12">
        <f>H86*_xlfn.XLOOKUP(E86,Products!$A:$A,Products!$E:$E,0)</f>
        <v>352</v>
      </c>
      <c r="K86" s="13">
        <f>IFERROR((I86-J86)/I86,0)</f>
        <v>0.5416666666666666</v>
      </c>
      <c r="L86" t="s">
        <v>50</v>
      </c>
    </row>
    <row r="87" spans="1:12" x14ac:dyDescent="0.25">
      <c r="A87" t="s">
        <v>142</v>
      </c>
      <c r="B87" s="11">
        <v>46164</v>
      </c>
      <c r="C87" t="s">
        <v>11</v>
      </c>
      <c r="D87" t="s">
        <v>20</v>
      </c>
      <c r="E87" t="s">
        <v>49</v>
      </c>
      <c r="F87" t="str">
        <f>_xlfn.XLOOKUP(E87,Products!$A:$A,Products!$B:$B,"?")</f>
        <v>Widget</v>
      </c>
      <c r="G87" t="str">
        <f>_xlfn.XLOOKUP(E87,Products!$A:$A,Products!$C:$C,"?")</f>
        <v>Hardware</v>
      </c>
      <c r="H87">
        <v>62</v>
      </c>
      <c r="I87" s="12">
        <f>H87*_xlfn.XLOOKUP(E87,Products!$A:$A,Products!$D:$D,0)</f>
        <v>1488</v>
      </c>
      <c r="J87" s="12">
        <f>H87*_xlfn.XLOOKUP(E87,Products!$A:$A,Products!$E:$E,0)</f>
        <v>682</v>
      </c>
      <c r="K87" s="13">
        <f>IFERROR((I87-J87)/I87,0)</f>
        <v>0.5416666666666666</v>
      </c>
      <c r="L87" t="s">
        <v>50</v>
      </c>
    </row>
    <row r="88" spans="1:12" x14ac:dyDescent="0.25">
      <c r="A88" t="s">
        <v>143</v>
      </c>
      <c r="B88" s="11">
        <v>46150</v>
      </c>
      <c r="C88" t="s">
        <v>8</v>
      </c>
      <c r="D88" t="s">
        <v>48</v>
      </c>
      <c r="E88" t="s">
        <v>55</v>
      </c>
      <c r="F88" t="str">
        <f>_xlfn.XLOOKUP(E88,Products!$A:$A,Products!$B:$B,"?")</f>
        <v>Gadget</v>
      </c>
      <c r="G88" t="str">
        <f>_xlfn.XLOOKUP(E88,Products!$A:$A,Products!$C:$C,"?")</f>
        <v>Hardware</v>
      </c>
      <c r="H88">
        <v>37</v>
      </c>
      <c r="I88" s="12">
        <f>H88*_xlfn.XLOOKUP(E88,Products!$A:$A,Products!$D:$D,0)</f>
        <v>3293</v>
      </c>
      <c r="J88" s="12">
        <f>H88*_xlfn.XLOOKUP(E88,Products!$A:$A,Products!$E:$E,0)</f>
        <v>1739</v>
      </c>
      <c r="K88" s="13">
        <f>IFERROR((I88-J88)/I88,0)</f>
        <v>0.47191011235955055</v>
      </c>
      <c r="L88" t="s">
        <v>50</v>
      </c>
    </row>
    <row r="89" spans="1:12" x14ac:dyDescent="0.25">
      <c r="A89" t="s">
        <v>144</v>
      </c>
      <c r="B89" s="11">
        <v>46169</v>
      </c>
      <c r="C89" t="s">
        <v>10</v>
      </c>
      <c r="D89" t="s">
        <v>21</v>
      </c>
      <c r="E89" t="s">
        <v>57</v>
      </c>
      <c r="F89" t="str">
        <f>_xlfn.XLOOKUP(E89,Products!$A:$A,Products!$B:$B,"?")</f>
        <v>Training day</v>
      </c>
      <c r="G89" t="str">
        <f>_xlfn.XLOOKUP(E89,Products!$A:$A,Products!$C:$C,"?")</f>
        <v>Services</v>
      </c>
      <c r="H89">
        <v>3</v>
      </c>
      <c r="I89" s="12">
        <f>H89*_xlfn.XLOOKUP(E89,Products!$A:$A,Products!$D:$D,0)</f>
        <v>3600</v>
      </c>
      <c r="J89" s="12">
        <f>H89*_xlfn.XLOOKUP(E89,Products!$A:$A,Products!$E:$E,0)</f>
        <v>1920</v>
      </c>
      <c r="K89" s="13">
        <f>IFERROR((I89-J89)/I89,0)</f>
        <v>0.4666666666666667</v>
      </c>
      <c r="L89" t="s">
        <v>50</v>
      </c>
    </row>
    <row r="90" spans="1:12" x14ac:dyDescent="0.25">
      <c r="A90" t="s">
        <v>145</v>
      </c>
      <c r="B90" s="11">
        <v>46147</v>
      </c>
      <c r="C90" t="s">
        <v>10</v>
      </c>
      <c r="D90" t="s">
        <v>21</v>
      </c>
      <c r="E90" t="s">
        <v>57</v>
      </c>
      <c r="F90" t="str">
        <f>_xlfn.XLOOKUP(E90,Products!$A:$A,Products!$B:$B,"?")</f>
        <v>Training day</v>
      </c>
      <c r="G90" t="str">
        <f>_xlfn.XLOOKUP(E90,Products!$A:$A,Products!$C:$C,"?")</f>
        <v>Services</v>
      </c>
      <c r="H90">
        <v>3</v>
      </c>
      <c r="I90" s="12">
        <f>H90*_xlfn.XLOOKUP(E90,Products!$A:$A,Products!$D:$D,0)</f>
        <v>3600</v>
      </c>
      <c r="J90" s="12">
        <f>H90*_xlfn.XLOOKUP(E90,Products!$A:$A,Products!$E:$E,0)</f>
        <v>1920</v>
      </c>
      <c r="K90" s="13">
        <f>IFERROR((I90-J90)/I90,0)</f>
        <v>0.4666666666666667</v>
      </c>
      <c r="L90" t="s">
        <v>58</v>
      </c>
    </row>
    <row r="91" spans="1:12" x14ac:dyDescent="0.25">
      <c r="A91" t="s">
        <v>146</v>
      </c>
      <c r="B91" s="11">
        <v>46147</v>
      </c>
      <c r="C91" t="s">
        <v>8</v>
      </c>
      <c r="D91" t="s">
        <v>23</v>
      </c>
      <c r="E91" t="s">
        <v>68</v>
      </c>
      <c r="F91" t="str">
        <f>_xlfn.XLOOKUP(E91,Products!$A:$A,Products!$B:$B,"?")</f>
        <v>Widget Pro</v>
      </c>
      <c r="G91" t="str">
        <f>_xlfn.XLOOKUP(E91,Products!$A:$A,Products!$C:$C,"?")</f>
        <v>Hardware</v>
      </c>
      <c r="H91">
        <v>19</v>
      </c>
      <c r="I91" s="12">
        <f>H91*_xlfn.XLOOKUP(E91,Products!$A:$A,Products!$D:$D,0)</f>
        <v>931</v>
      </c>
      <c r="J91" s="12">
        <f>H91*_xlfn.XLOOKUP(E91,Products!$A:$A,Products!$E:$E,0)</f>
        <v>418</v>
      </c>
      <c r="K91" s="13">
        <f>IFERROR((I91-J91)/I91,0)</f>
        <v>0.5510204081632653</v>
      </c>
      <c r="L91" t="s">
        <v>50</v>
      </c>
    </row>
    <row r="92" spans="1:12" x14ac:dyDescent="0.25">
      <c r="A92" t="s">
        <v>147</v>
      </c>
      <c r="B92" s="11">
        <v>46168</v>
      </c>
      <c r="C92" t="s">
        <v>11</v>
      </c>
      <c r="D92" t="s">
        <v>20</v>
      </c>
      <c r="E92" t="s">
        <v>55</v>
      </c>
      <c r="F92" t="str">
        <f>_xlfn.XLOOKUP(E92,Products!$A:$A,Products!$B:$B,"?")</f>
        <v>Gadget</v>
      </c>
      <c r="G92" t="str">
        <f>_xlfn.XLOOKUP(E92,Products!$A:$A,Products!$C:$C,"?")</f>
        <v>Hardware</v>
      </c>
      <c r="H92">
        <v>47</v>
      </c>
      <c r="I92" s="12">
        <f>H92*_xlfn.XLOOKUP(E92,Products!$A:$A,Products!$D:$D,0)</f>
        <v>4183</v>
      </c>
      <c r="J92" s="12">
        <f>H92*_xlfn.XLOOKUP(E92,Products!$A:$A,Products!$E:$E,0)</f>
        <v>2209</v>
      </c>
      <c r="K92" s="13">
        <f>IFERROR((I92-J92)/I92,0)</f>
        <v>0.47191011235955055</v>
      </c>
      <c r="L92" t="s">
        <v>50</v>
      </c>
    </row>
    <row r="93" spans="1:12" x14ac:dyDescent="0.25">
      <c r="A93" t="s">
        <v>148</v>
      </c>
      <c r="B93" s="11">
        <v>46165</v>
      </c>
      <c r="C93" t="s">
        <v>8</v>
      </c>
      <c r="D93" t="s">
        <v>48</v>
      </c>
      <c r="E93" t="s">
        <v>68</v>
      </c>
      <c r="F93" t="str">
        <f>_xlfn.XLOOKUP(E93,Products!$A:$A,Products!$B:$B,"?")</f>
        <v>Widget Pro</v>
      </c>
      <c r="G93" t="str">
        <f>_xlfn.XLOOKUP(E93,Products!$A:$A,Products!$C:$C,"?")</f>
        <v>Hardware</v>
      </c>
      <c r="H93">
        <v>33</v>
      </c>
      <c r="I93" s="12">
        <f>H93*_xlfn.XLOOKUP(E93,Products!$A:$A,Products!$D:$D,0)</f>
        <v>1617</v>
      </c>
      <c r="J93" s="12">
        <f>H93*_xlfn.XLOOKUP(E93,Products!$A:$A,Products!$E:$E,0)</f>
        <v>726</v>
      </c>
      <c r="K93" s="13">
        <f>IFERROR((I93-J93)/I93,0)</f>
        <v>0.5510204081632653</v>
      </c>
      <c r="L93" t="s">
        <v>58</v>
      </c>
    </row>
    <row r="94" spans="1:12" x14ac:dyDescent="0.25">
      <c r="A94" t="s">
        <v>149</v>
      </c>
      <c r="B94" s="11">
        <v>46150</v>
      </c>
      <c r="C94" t="s">
        <v>8</v>
      </c>
      <c r="D94" t="s">
        <v>48</v>
      </c>
      <c r="E94" t="s">
        <v>57</v>
      </c>
      <c r="F94" t="str">
        <f>_xlfn.XLOOKUP(E94,Products!$A:$A,Products!$B:$B,"?")</f>
        <v>Training day</v>
      </c>
      <c r="G94" t="str">
        <f>_xlfn.XLOOKUP(E94,Products!$A:$A,Products!$C:$C,"?")</f>
        <v>Services</v>
      </c>
      <c r="H94">
        <v>1</v>
      </c>
      <c r="I94" s="12">
        <f>H94*_xlfn.XLOOKUP(E94,Products!$A:$A,Products!$D:$D,0)</f>
        <v>1200</v>
      </c>
      <c r="J94" s="12">
        <f>H94*_xlfn.XLOOKUP(E94,Products!$A:$A,Products!$E:$E,0)</f>
        <v>640</v>
      </c>
      <c r="K94" s="13">
        <f>IFERROR((I94-J94)/I94,0)</f>
        <v>0.4666666666666667</v>
      </c>
      <c r="L94" t="s">
        <v>50</v>
      </c>
    </row>
    <row r="95" spans="1:12" x14ac:dyDescent="0.25">
      <c r="A95" t="s">
        <v>150</v>
      </c>
      <c r="B95" s="11">
        <v>46163</v>
      </c>
      <c r="C95" t="s">
        <v>10</v>
      </c>
      <c r="D95" t="s">
        <v>21</v>
      </c>
      <c r="E95" t="s">
        <v>78</v>
      </c>
      <c r="F95" t="str">
        <f>_xlfn.XLOOKUP(E95,Products!$A:$A,Products!$B:$B,"?")</f>
        <v>Cloud Seat</v>
      </c>
      <c r="G95" t="str">
        <f>_xlfn.XLOOKUP(E95,Products!$A:$A,Products!$C:$C,"?")</f>
        <v>Software</v>
      </c>
      <c r="H95">
        <v>29</v>
      </c>
      <c r="I95" s="12">
        <f>H95*_xlfn.XLOOKUP(E95,Products!$A:$A,Products!$D:$D,0)</f>
        <v>870</v>
      </c>
      <c r="J95" s="12">
        <f>H95*_xlfn.XLOOKUP(E95,Products!$A:$A,Products!$E:$E,0)</f>
        <v>116</v>
      </c>
      <c r="K95" s="13">
        <f>IFERROR((I95-J95)/I95,0)</f>
        <v>0.8666666666666667</v>
      </c>
      <c r="L95" t="s">
        <v>50</v>
      </c>
    </row>
    <row r="96" spans="1:12" x14ac:dyDescent="0.25">
      <c r="A96" t="s">
        <v>151</v>
      </c>
      <c r="B96" s="11">
        <v>46146</v>
      </c>
      <c r="C96" t="s">
        <v>10</v>
      </c>
      <c r="D96" t="s">
        <v>21</v>
      </c>
      <c r="E96" t="s">
        <v>55</v>
      </c>
      <c r="F96" t="str">
        <f>_xlfn.XLOOKUP(E96,Products!$A:$A,Products!$B:$B,"?")</f>
        <v>Gadget</v>
      </c>
      <c r="G96" t="str">
        <f>_xlfn.XLOOKUP(E96,Products!$A:$A,Products!$C:$C,"?")</f>
        <v>Hardware</v>
      </c>
      <c r="H96">
        <v>7</v>
      </c>
      <c r="I96" s="12">
        <f>H96*_xlfn.XLOOKUP(E96,Products!$A:$A,Products!$D:$D,0)</f>
        <v>623</v>
      </c>
      <c r="J96" s="12">
        <f>H96*_xlfn.XLOOKUP(E96,Products!$A:$A,Products!$E:$E,0)</f>
        <v>329</v>
      </c>
      <c r="K96" s="13">
        <f>IFERROR((I96-J96)/I96,0)</f>
        <v>0.47191011235955055</v>
      </c>
      <c r="L96" t="s">
        <v>50</v>
      </c>
    </row>
    <row r="97" spans="1:12" x14ac:dyDescent="0.25">
      <c r="A97" t="s">
        <v>152</v>
      </c>
      <c r="B97" s="11">
        <v>46165</v>
      </c>
      <c r="C97" t="s">
        <v>10</v>
      </c>
      <c r="D97" t="s">
        <v>21</v>
      </c>
      <c r="E97" t="s">
        <v>78</v>
      </c>
      <c r="F97" t="str">
        <f>_xlfn.XLOOKUP(E97,Products!$A:$A,Products!$B:$B,"?")</f>
        <v>Cloud Seat</v>
      </c>
      <c r="G97" t="str">
        <f>_xlfn.XLOOKUP(E97,Products!$A:$A,Products!$C:$C,"?")</f>
        <v>Software</v>
      </c>
      <c r="H97">
        <v>17</v>
      </c>
      <c r="I97" s="12">
        <f>H97*_xlfn.XLOOKUP(E97,Products!$A:$A,Products!$D:$D,0)</f>
        <v>510</v>
      </c>
      <c r="J97" s="12">
        <f>H97*_xlfn.XLOOKUP(E97,Products!$A:$A,Products!$E:$E,0)</f>
        <v>68</v>
      </c>
      <c r="K97" s="13">
        <f>IFERROR((I97-J97)/I97,0)</f>
        <v>0.8666666666666667</v>
      </c>
      <c r="L97" t="s">
        <v>50</v>
      </c>
    </row>
    <row r="98" spans="1:12" x14ac:dyDescent="0.25">
      <c r="A98" t="s">
        <v>153</v>
      </c>
      <c r="B98" s="11">
        <v>46156</v>
      </c>
      <c r="C98" t="s">
        <v>8</v>
      </c>
      <c r="D98" t="s">
        <v>48</v>
      </c>
      <c r="E98" t="s">
        <v>52</v>
      </c>
      <c r="F98" t="str">
        <f>_xlfn.XLOOKUP(E98,Products!$A:$A,Products!$B:$B,"?")</f>
        <v>Setup</v>
      </c>
      <c r="G98" t="str">
        <f>_xlfn.XLOOKUP(E98,Products!$A:$A,Products!$C:$C,"?")</f>
        <v>Services</v>
      </c>
      <c r="H98">
        <v>3</v>
      </c>
      <c r="I98" s="12">
        <f>H98*_xlfn.XLOOKUP(E98,Products!$A:$A,Products!$D:$D,0)</f>
        <v>1350</v>
      </c>
      <c r="J98" s="12">
        <f>H98*_xlfn.XLOOKUP(E98,Products!$A:$A,Products!$E:$E,0)</f>
        <v>780</v>
      </c>
      <c r="K98" s="13">
        <f>IFERROR((I98-J98)/I98,0)</f>
        <v>0.4222222222222222</v>
      </c>
      <c r="L98" t="s">
        <v>58</v>
      </c>
    </row>
    <row r="99" spans="1:12" x14ac:dyDescent="0.25">
      <c r="A99" t="s">
        <v>25</v>
      </c>
      <c r="B99" s="11">
        <v>46153</v>
      </c>
      <c r="C99" t="s">
        <v>8</v>
      </c>
      <c r="D99" t="s">
        <v>23</v>
      </c>
      <c r="E99" t="s">
        <v>57</v>
      </c>
      <c r="F99" t="str">
        <f>_xlfn.XLOOKUP(E99,Products!$A:$A,Products!$B:$B,"?")</f>
        <v>Training day</v>
      </c>
      <c r="G99" t="str">
        <f>_xlfn.XLOOKUP(E99,Products!$A:$A,Products!$C:$C,"?")</f>
        <v>Services</v>
      </c>
      <c r="H99">
        <v>3</v>
      </c>
      <c r="I99" s="12">
        <f>H99*_xlfn.XLOOKUP(E99,Products!$A:$A,Products!$D:$D,0)</f>
        <v>3600</v>
      </c>
      <c r="J99" s="12">
        <f>H99*_xlfn.XLOOKUP(E99,Products!$A:$A,Products!$E:$E,0)</f>
        <v>1920</v>
      </c>
      <c r="K99" s="13">
        <f>IFERROR((I99-J99)/I99,0)</f>
        <v>0.4666666666666667</v>
      </c>
      <c r="L99" t="s">
        <v>58</v>
      </c>
    </row>
    <row r="100" spans="1:12" x14ac:dyDescent="0.25">
      <c r="A100" t="s">
        <v>154</v>
      </c>
      <c r="B100" s="11">
        <v>46152</v>
      </c>
      <c r="C100" t="s">
        <v>8</v>
      </c>
      <c r="D100" t="s">
        <v>48</v>
      </c>
      <c r="E100" t="s">
        <v>78</v>
      </c>
      <c r="F100" t="str">
        <f>_xlfn.XLOOKUP(E100,Products!$A:$A,Products!$B:$B,"?")</f>
        <v>Cloud Seat</v>
      </c>
      <c r="G100" t="str">
        <f>_xlfn.XLOOKUP(E100,Products!$A:$A,Products!$C:$C,"?")</f>
        <v>Software</v>
      </c>
      <c r="H100">
        <v>31</v>
      </c>
      <c r="I100" s="12">
        <f>H100*_xlfn.XLOOKUP(E100,Products!$A:$A,Products!$D:$D,0)</f>
        <v>930</v>
      </c>
      <c r="J100" s="12">
        <f>H100*_xlfn.XLOOKUP(E100,Products!$A:$A,Products!$E:$E,0)</f>
        <v>124</v>
      </c>
      <c r="K100" s="13">
        <f>IFERROR((I100-J100)/I100,0)</f>
        <v>0.8666666666666667</v>
      </c>
      <c r="L100" t="s">
        <v>50</v>
      </c>
    </row>
    <row r="101" spans="1:12" x14ac:dyDescent="0.25">
      <c r="A101" t="s">
        <v>155</v>
      </c>
      <c r="B101" s="11">
        <v>46165</v>
      </c>
      <c r="C101" t="s">
        <v>11</v>
      </c>
      <c r="D101" t="s">
        <v>20</v>
      </c>
      <c r="E101" t="s">
        <v>66</v>
      </c>
      <c r="F101" t="str">
        <f>_xlfn.XLOOKUP(E101,Products!$A:$A,Products!$B:$B,"?")</f>
        <v>Cloud Seat Plus</v>
      </c>
      <c r="G101" t="str">
        <f>_xlfn.XLOOKUP(E101,Products!$A:$A,Products!$C:$C,"?")</f>
        <v>Software</v>
      </c>
      <c r="H101">
        <v>43</v>
      </c>
      <c r="I101" s="12">
        <f>H101*_xlfn.XLOOKUP(E101,Products!$A:$A,Products!$D:$D,0)</f>
        <v>2365</v>
      </c>
      <c r="J101" s="12">
        <f>H101*_xlfn.XLOOKUP(E101,Products!$A:$A,Products!$E:$E,0)</f>
        <v>301</v>
      </c>
      <c r="K101" s="13">
        <f>IFERROR((I101-J101)/I101,0)</f>
        <v>0.8727272727272727</v>
      </c>
      <c r="L101" t="s">
        <v>58</v>
      </c>
    </row>
    <row r="102" spans="1:12" x14ac:dyDescent="0.25">
      <c r="A102" t="s">
        <v>156</v>
      </c>
      <c r="B102" s="11">
        <v>46180</v>
      </c>
      <c r="C102" t="s">
        <v>11</v>
      </c>
      <c r="D102" t="s">
        <v>19</v>
      </c>
      <c r="E102" t="s">
        <v>55</v>
      </c>
      <c r="F102" t="str">
        <f>_xlfn.XLOOKUP(E102,Products!$A:$A,Products!$B:$B,"?")</f>
        <v>Gadget</v>
      </c>
      <c r="G102" t="str">
        <f>_xlfn.XLOOKUP(E102,Products!$A:$A,Products!$C:$C,"?")</f>
        <v>Hardware</v>
      </c>
      <c r="H102">
        <v>18</v>
      </c>
      <c r="I102" s="12">
        <f>H102*_xlfn.XLOOKUP(E102,Products!$A:$A,Products!$D:$D,0)</f>
        <v>1602</v>
      </c>
      <c r="J102" s="12">
        <f>H102*_xlfn.XLOOKUP(E102,Products!$A:$A,Products!$E:$E,0)</f>
        <v>846</v>
      </c>
      <c r="K102" s="13">
        <f>IFERROR((I102-J102)/I102,0)</f>
        <v>0.47191011235955055</v>
      </c>
      <c r="L102" t="s">
        <v>50</v>
      </c>
    </row>
    <row r="103" spans="1:12" x14ac:dyDescent="0.25">
      <c r="A103" t="s">
        <v>157</v>
      </c>
      <c r="B103" s="11">
        <v>46190</v>
      </c>
      <c r="C103" t="s">
        <v>10</v>
      </c>
      <c r="D103" t="s">
        <v>21</v>
      </c>
      <c r="E103" t="s">
        <v>78</v>
      </c>
      <c r="F103" t="str">
        <f>_xlfn.XLOOKUP(E103,Products!$A:$A,Products!$B:$B,"?")</f>
        <v>Cloud Seat</v>
      </c>
      <c r="G103" t="str">
        <f>_xlfn.XLOOKUP(E103,Products!$A:$A,Products!$C:$C,"?")</f>
        <v>Software</v>
      </c>
      <c r="H103">
        <v>49</v>
      </c>
      <c r="I103" s="12">
        <f>H103*_xlfn.XLOOKUP(E103,Products!$A:$A,Products!$D:$D,0)</f>
        <v>1470</v>
      </c>
      <c r="J103" s="12">
        <f>H103*_xlfn.XLOOKUP(E103,Products!$A:$A,Products!$E:$E,0)</f>
        <v>196</v>
      </c>
      <c r="K103" s="13">
        <f>IFERROR((I103-J103)/I103,0)</f>
        <v>0.8666666666666667</v>
      </c>
      <c r="L103" t="s">
        <v>58</v>
      </c>
    </row>
    <row r="104" spans="1:12" x14ac:dyDescent="0.25">
      <c r="A104" t="s">
        <v>158</v>
      </c>
      <c r="B104" s="11">
        <v>46180</v>
      </c>
      <c r="C104" t="s">
        <v>10</v>
      </c>
      <c r="D104" t="s">
        <v>21</v>
      </c>
      <c r="E104" t="s">
        <v>55</v>
      </c>
      <c r="F104" t="str">
        <f>_xlfn.XLOOKUP(E104,Products!$A:$A,Products!$B:$B,"?")</f>
        <v>Gadget</v>
      </c>
      <c r="G104" t="str">
        <f>_xlfn.XLOOKUP(E104,Products!$A:$A,Products!$C:$C,"?")</f>
        <v>Hardware</v>
      </c>
      <c r="H104">
        <v>56</v>
      </c>
      <c r="I104" s="12">
        <f>H104*_xlfn.XLOOKUP(E104,Products!$A:$A,Products!$D:$D,0)</f>
        <v>4984</v>
      </c>
      <c r="J104" s="12">
        <f>H104*_xlfn.XLOOKUP(E104,Products!$A:$A,Products!$E:$E,0)</f>
        <v>2632</v>
      </c>
      <c r="K104" s="13">
        <f>IFERROR((I104-J104)/I104,0)</f>
        <v>0.47191011235955055</v>
      </c>
      <c r="L104" t="s">
        <v>50</v>
      </c>
    </row>
    <row r="105" spans="1:12" x14ac:dyDescent="0.25">
      <c r="A105" t="s">
        <v>159</v>
      </c>
      <c r="B105" s="11">
        <v>46181</v>
      </c>
      <c r="C105" t="s">
        <v>11</v>
      </c>
      <c r="D105" t="s">
        <v>19</v>
      </c>
      <c r="E105" t="s">
        <v>78</v>
      </c>
      <c r="F105" t="str">
        <f>_xlfn.XLOOKUP(E105,Products!$A:$A,Products!$B:$B,"?")</f>
        <v>Cloud Seat</v>
      </c>
      <c r="G105" t="str">
        <f>_xlfn.XLOOKUP(E105,Products!$A:$A,Products!$C:$C,"?")</f>
        <v>Software</v>
      </c>
      <c r="H105">
        <v>6</v>
      </c>
      <c r="I105" s="12">
        <f>H105*_xlfn.XLOOKUP(E105,Products!$A:$A,Products!$D:$D,0)</f>
        <v>180</v>
      </c>
      <c r="J105" s="12">
        <f>H105*_xlfn.XLOOKUP(E105,Products!$A:$A,Products!$E:$E,0)</f>
        <v>24</v>
      </c>
      <c r="K105" s="13">
        <f>IFERROR((I105-J105)/I105,0)</f>
        <v>0.8666666666666667</v>
      </c>
      <c r="L105" t="s">
        <v>50</v>
      </c>
    </row>
    <row r="106" spans="1:12" x14ac:dyDescent="0.25">
      <c r="A106" t="s">
        <v>160</v>
      </c>
      <c r="B106" s="11">
        <v>46199</v>
      </c>
      <c r="C106" t="s">
        <v>9</v>
      </c>
      <c r="D106" t="s">
        <v>17</v>
      </c>
      <c r="E106" t="s">
        <v>78</v>
      </c>
      <c r="F106" t="str">
        <f>_xlfn.XLOOKUP(E106,Products!$A:$A,Products!$B:$B,"?")</f>
        <v>Cloud Seat</v>
      </c>
      <c r="G106" t="str">
        <f>_xlfn.XLOOKUP(E106,Products!$A:$A,Products!$C:$C,"?")</f>
        <v>Software</v>
      </c>
      <c r="H106">
        <v>11</v>
      </c>
      <c r="I106" s="12">
        <f>H106*_xlfn.XLOOKUP(E106,Products!$A:$A,Products!$D:$D,0)</f>
        <v>330</v>
      </c>
      <c r="J106" s="12">
        <f>H106*_xlfn.XLOOKUP(E106,Products!$A:$A,Products!$E:$E,0)</f>
        <v>44</v>
      </c>
      <c r="K106" s="13">
        <f>IFERROR((I106-J106)/I106,0)</f>
        <v>0.8666666666666667</v>
      </c>
      <c r="L106" t="s">
        <v>58</v>
      </c>
    </row>
    <row r="107" spans="1:12" x14ac:dyDescent="0.25">
      <c r="A107" t="s">
        <v>161</v>
      </c>
      <c r="B107" s="11">
        <v>46194</v>
      </c>
      <c r="C107" t="s">
        <v>9</v>
      </c>
      <c r="D107" t="s">
        <v>17</v>
      </c>
      <c r="E107" t="s">
        <v>52</v>
      </c>
      <c r="F107" t="str">
        <f>_xlfn.XLOOKUP(E107,Products!$A:$A,Products!$B:$B,"?")</f>
        <v>Setup</v>
      </c>
      <c r="G107" t="str">
        <f>_xlfn.XLOOKUP(E107,Products!$A:$A,Products!$C:$C,"?")</f>
        <v>Services</v>
      </c>
      <c r="H107">
        <v>1</v>
      </c>
      <c r="I107" s="12">
        <f>H107*_xlfn.XLOOKUP(E107,Products!$A:$A,Products!$D:$D,0)</f>
        <v>450</v>
      </c>
      <c r="J107" s="12">
        <f>H107*_xlfn.XLOOKUP(E107,Products!$A:$A,Products!$E:$E,0)</f>
        <v>260</v>
      </c>
      <c r="K107" s="13">
        <f>IFERROR((I107-J107)/I107,0)</f>
        <v>0.4222222222222222</v>
      </c>
      <c r="L107" t="s">
        <v>50</v>
      </c>
    </row>
    <row r="108" spans="1:12" x14ac:dyDescent="0.25">
      <c r="A108" t="s">
        <v>162</v>
      </c>
      <c r="B108" s="11">
        <v>46186</v>
      </c>
      <c r="C108" t="s">
        <v>9</v>
      </c>
      <c r="D108" t="s">
        <v>17</v>
      </c>
      <c r="E108" t="s">
        <v>66</v>
      </c>
      <c r="F108" t="str">
        <f>_xlfn.XLOOKUP(E108,Products!$A:$A,Products!$B:$B,"?")</f>
        <v>Cloud Seat Plus</v>
      </c>
      <c r="G108" t="str">
        <f>_xlfn.XLOOKUP(E108,Products!$A:$A,Products!$C:$C,"?")</f>
        <v>Software</v>
      </c>
      <c r="H108">
        <v>50</v>
      </c>
      <c r="I108" s="12">
        <f>H108*_xlfn.XLOOKUP(E108,Products!$A:$A,Products!$D:$D,0)</f>
        <v>2750</v>
      </c>
      <c r="J108" s="12">
        <f>H108*_xlfn.XLOOKUP(E108,Products!$A:$A,Products!$E:$E,0)</f>
        <v>350</v>
      </c>
      <c r="K108" s="13">
        <f>IFERROR((I108-J108)/I108,0)</f>
        <v>0.8727272727272727</v>
      </c>
      <c r="L108" t="s">
        <v>58</v>
      </c>
    </row>
    <row r="109" spans="1:12" x14ac:dyDescent="0.25">
      <c r="A109" t="s">
        <v>163</v>
      </c>
      <c r="B109" s="11">
        <v>46189</v>
      </c>
      <c r="C109" t="s">
        <v>11</v>
      </c>
      <c r="D109" t="s">
        <v>19</v>
      </c>
      <c r="E109" t="s">
        <v>52</v>
      </c>
      <c r="F109" t="str">
        <f>_xlfn.XLOOKUP(E109,Products!$A:$A,Products!$B:$B,"?")</f>
        <v>Setup</v>
      </c>
      <c r="G109" t="str">
        <f>_xlfn.XLOOKUP(E109,Products!$A:$A,Products!$C:$C,"?")</f>
        <v>Services</v>
      </c>
      <c r="H109">
        <v>3</v>
      </c>
      <c r="I109" s="12">
        <f>H109*_xlfn.XLOOKUP(E109,Products!$A:$A,Products!$D:$D,0)</f>
        <v>1350</v>
      </c>
      <c r="J109" s="12">
        <f>H109*_xlfn.XLOOKUP(E109,Products!$A:$A,Products!$E:$E,0)</f>
        <v>780</v>
      </c>
      <c r="K109" s="13">
        <f>IFERROR((I109-J109)/I109,0)</f>
        <v>0.4222222222222222</v>
      </c>
      <c r="L109" t="s">
        <v>50</v>
      </c>
    </row>
    <row r="110" spans="1:12" x14ac:dyDescent="0.25">
      <c r="A110" t="s">
        <v>164</v>
      </c>
      <c r="B110" s="11">
        <v>46175</v>
      </c>
      <c r="C110" t="s">
        <v>8</v>
      </c>
      <c r="D110" t="s">
        <v>48</v>
      </c>
      <c r="E110" t="s">
        <v>49</v>
      </c>
      <c r="F110" t="str">
        <f>_xlfn.XLOOKUP(E110,Products!$A:$A,Products!$B:$B,"?")</f>
        <v>Widget</v>
      </c>
      <c r="G110" t="str">
        <f>_xlfn.XLOOKUP(E110,Products!$A:$A,Products!$C:$C,"?")</f>
        <v>Hardware</v>
      </c>
      <c r="H110">
        <v>81</v>
      </c>
      <c r="I110" s="12">
        <f>H110*_xlfn.XLOOKUP(E110,Products!$A:$A,Products!$D:$D,0)</f>
        <v>1944</v>
      </c>
      <c r="J110" s="12">
        <f>H110*_xlfn.XLOOKUP(E110,Products!$A:$A,Products!$E:$E,0)</f>
        <v>891</v>
      </c>
      <c r="K110" s="13">
        <f>IFERROR((I110-J110)/I110,0)</f>
        <v>0.5416666666666666</v>
      </c>
      <c r="L110" t="s">
        <v>50</v>
      </c>
    </row>
    <row r="111" spans="1:12" x14ac:dyDescent="0.25">
      <c r="A111" t="s">
        <v>165</v>
      </c>
      <c r="B111" s="11">
        <v>46174</v>
      </c>
      <c r="C111" t="s">
        <v>8</v>
      </c>
      <c r="D111" t="s">
        <v>48</v>
      </c>
      <c r="E111" t="s">
        <v>52</v>
      </c>
      <c r="F111" t="str">
        <f>_xlfn.XLOOKUP(E111,Products!$A:$A,Products!$B:$B,"?")</f>
        <v>Setup</v>
      </c>
      <c r="G111" t="str">
        <f>_xlfn.XLOOKUP(E111,Products!$A:$A,Products!$C:$C,"?")</f>
        <v>Services</v>
      </c>
      <c r="H111">
        <v>1</v>
      </c>
      <c r="I111" s="12">
        <f>H111*_xlfn.XLOOKUP(E111,Products!$A:$A,Products!$D:$D,0)</f>
        <v>450</v>
      </c>
      <c r="J111" s="12">
        <f>H111*_xlfn.XLOOKUP(E111,Products!$A:$A,Products!$E:$E,0)</f>
        <v>260</v>
      </c>
      <c r="K111" s="13">
        <f>IFERROR((I111-J111)/I111,0)</f>
        <v>0.4222222222222222</v>
      </c>
      <c r="L111" t="s">
        <v>50</v>
      </c>
    </row>
    <row r="112" spans="1:12" x14ac:dyDescent="0.25">
      <c r="A112" t="s">
        <v>166</v>
      </c>
      <c r="B112" s="11">
        <v>46181</v>
      </c>
      <c r="C112" t="s">
        <v>10</v>
      </c>
      <c r="D112" t="s">
        <v>21</v>
      </c>
      <c r="E112" t="s">
        <v>66</v>
      </c>
      <c r="F112" t="str">
        <f>_xlfn.XLOOKUP(E112,Products!$A:$A,Products!$B:$B,"?")</f>
        <v>Cloud Seat Plus</v>
      </c>
      <c r="G112" t="str">
        <f>_xlfn.XLOOKUP(E112,Products!$A:$A,Products!$C:$C,"?")</f>
        <v>Software</v>
      </c>
      <c r="H112">
        <v>12</v>
      </c>
      <c r="I112" s="12">
        <f>H112*_xlfn.XLOOKUP(E112,Products!$A:$A,Products!$D:$D,0)</f>
        <v>660</v>
      </c>
      <c r="J112" s="12">
        <f>H112*_xlfn.XLOOKUP(E112,Products!$A:$A,Products!$E:$E,0)</f>
        <v>84</v>
      </c>
      <c r="K112" s="13">
        <f>IFERROR((I112-J112)/I112,0)</f>
        <v>0.8727272727272727</v>
      </c>
      <c r="L112" t="s">
        <v>50</v>
      </c>
    </row>
    <row r="113" spans="1:12" x14ac:dyDescent="0.25">
      <c r="A113" t="s">
        <v>167</v>
      </c>
      <c r="B113" s="11">
        <v>46184</v>
      </c>
      <c r="C113" t="s">
        <v>11</v>
      </c>
      <c r="D113" t="s">
        <v>19</v>
      </c>
      <c r="E113" t="s">
        <v>49</v>
      </c>
      <c r="F113" t="str">
        <f>_xlfn.XLOOKUP(E113,Products!$A:$A,Products!$B:$B,"?")</f>
        <v>Widget</v>
      </c>
      <c r="G113" t="str">
        <f>_xlfn.XLOOKUP(E113,Products!$A:$A,Products!$C:$C,"?")</f>
        <v>Hardware</v>
      </c>
      <c r="H113">
        <v>55</v>
      </c>
      <c r="I113" s="12">
        <f>H113*_xlfn.XLOOKUP(E113,Products!$A:$A,Products!$D:$D,0)</f>
        <v>1320</v>
      </c>
      <c r="J113" s="12">
        <f>H113*_xlfn.XLOOKUP(E113,Products!$A:$A,Products!$E:$E,0)</f>
        <v>605</v>
      </c>
      <c r="K113" s="13">
        <f>IFERROR((I113-J113)/I113,0)</f>
        <v>0.5416666666666666</v>
      </c>
      <c r="L113" t="s">
        <v>50</v>
      </c>
    </row>
    <row r="114" spans="1:12" x14ac:dyDescent="0.25">
      <c r="A114" t="s">
        <v>168</v>
      </c>
      <c r="B114" s="11">
        <v>46187</v>
      </c>
      <c r="C114" t="s">
        <v>11</v>
      </c>
      <c r="D114" t="s">
        <v>20</v>
      </c>
      <c r="E114" t="s">
        <v>57</v>
      </c>
      <c r="F114" t="str">
        <f>_xlfn.XLOOKUP(E114,Products!$A:$A,Products!$B:$B,"?")</f>
        <v>Training day</v>
      </c>
      <c r="G114" t="str">
        <f>_xlfn.XLOOKUP(E114,Products!$A:$A,Products!$C:$C,"?")</f>
        <v>Services</v>
      </c>
      <c r="H114">
        <v>3</v>
      </c>
      <c r="I114" s="12">
        <f>H114*_xlfn.XLOOKUP(E114,Products!$A:$A,Products!$D:$D,0)</f>
        <v>3600</v>
      </c>
      <c r="J114" s="12">
        <f>H114*_xlfn.XLOOKUP(E114,Products!$A:$A,Products!$E:$E,0)</f>
        <v>1920</v>
      </c>
      <c r="K114" s="13">
        <f>IFERROR((I114-J114)/I114,0)</f>
        <v>0.4666666666666667</v>
      </c>
      <c r="L114" t="s">
        <v>50</v>
      </c>
    </row>
    <row r="115" spans="1:12" x14ac:dyDescent="0.25">
      <c r="A115" t="s">
        <v>169</v>
      </c>
      <c r="B115" s="11">
        <v>46190</v>
      </c>
      <c r="C115" t="s">
        <v>11</v>
      </c>
      <c r="D115" t="s">
        <v>19</v>
      </c>
      <c r="E115" t="s">
        <v>52</v>
      </c>
      <c r="F115" t="str">
        <f>_xlfn.XLOOKUP(E115,Products!$A:$A,Products!$B:$B,"?")</f>
        <v>Setup</v>
      </c>
      <c r="G115" t="str">
        <f>_xlfn.XLOOKUP(E115,Products!$A:$A,Products!$C:$C,"?")</f>
        <v>Services</v>
      </c>
      <c r="H115">
        <v>2</v>
      </c>
      <c r="I115" s="12">
        <f>H115*_xlfn.XLOOKUP(E115,Products!$A:$A,Products!$D:$D,0)</f>
        <v>900</v>
      </c>
      <c r="J115" s="12">
        <f>H115*_xlfn.XLOOKUP(E115,Products!$A:$A,Products!$E:$E,0)</f>
        <v>520</v>
      </c>
      <c r="K115" s="13">
        <f>IFERROR((I115-J115)/I115,0)</f>
        <v>0.4222222222222222</v>
      </c>
      <c r="L115" t="s">
        <v>50</v>
      </c>
    </row>
    <row r="116" spans="1:12" x14ac:dyDescent="0.25">
      <c r="A116" t="s">
        <v>170</v>
      </c>
      <c r="B116" s="11">
        <v>46187</v>
      </c>
      <c r="C116" t="s">
        <v>9</v>
      </c>
      <c r="D116" t="s">
        <v>17</v>
      </c>
      <c r="E116" t="s">
        <v>52</v>
      </c>
      <c r="F116" t="str">
        <f>_xlfn.XLOOKUP(E116,Products!$A:$A,Products!$B:$B,"?")</f>
        <v>Setup</v>
      </c>
      <c r="G116" t="str">
        <f>_xlfn.XLOOKUP(E116,Products!$A:$A,Products!$C:$C,"?")</f>
        <v>Services</v>
      </c>
      <c r="H116">
        <v>3</v>
      </c>
      <c r="I116" s="12">
        <f>H116*_xlfn.XLOOKUP(E116,Products!$A:$A,Products!$D:$D,0)</f>
        <v>1350</v>
      </c>
      <c r="J116" s="12">
        <f>H116*_xlfn.XLOOKUP(E116,Products!$A:$A,Products!$E:$E,0)</f>
        <v>780</v>
      </c>
      <c r="K116" s="13">
        <f>IFERROR((I116-J116)/I116,0)</f>
        <v>0.4222222222222222</v>
      </c>
      <c r="L116" t="s">
        <v>50</v>
      </c>
    </row>
    <row r="117" spans="1:12" x14ac:dyDescent="0.25">
      <c r="A117" t="s">
        <v>171</v>
      </c>
      <c r="B117" s="11">
        <v>46179</v>
      </c>
      <c r="C117" t="s">
        <v>11</v>
      </c>
      <c r="D117" t="s">
        <v>19</v>
      </c>
      <c r="E117" t="s">
        <v>55</v>
      </c>
      <c r="F117" t="str">
        <f>_xlfn.XLOOKUP(E117,Products!$A:$A,Products!$B:$B,"?")</f>
        <v>Gadget</v>
      </c>
      <c r="G117" t="str">
        <f>_xlfn.XLOOKUP(E117,Products!$A:$A,Products!$C:$C,"?")</f>
        <v>Hardware</v>
      </c>
      <c r="H117">
        <v>28</v>
      </c>
      <c r="I117" s="12">
        <f>H117*_xlfn.XLOOKUP(E117,Products!$A:$A,Products!$D:$D,0)</f>
        <v>2492</v>
      </c>
      <c r="J117" s="12">
        <f>H117*_xlfn.XLOOKUP(E117,Products!$A:$A,Products!$E:$E,0)</f>
        <v>1316</v>
      </c>
      <c r="K117" s="13">
        <f>IFERROR((I117-J117)/I117,0)</f>
        <v>0.47191011235955055</v>
      </c>
      <c r="L117" t="s">
        <v>50</v>
      </c>
    </row>
    <row r="118" spans="1:12" x14ac:dyDescent="0.25">
      <c r="A118" t="s">
        <v>26</v>
      </c>
      <c r="B118" s="11">
        <v>46197</v>
      </c>
      <c r="C118" t="s">
        <v>8</v>
      </c>
      <c r="D118" t="s">
        <v>23</v>
      </c>
      <c r="E118" t="s">
        <v>66</v>
      </c>
      <c r="F118" t="str">
        <f>_xlfn.XLOOKUP(E118,Products!$A:$A,Products!$B:$B,"?")</f>
        <v>Cloud Seat Plus</v>
      </c>
      <c r="G118" t="str">
        <f>_xlfn.XLOOKUP(E118,Products!$A:$A,Products!$C:$C,"?")</f>
        <v>Software</v>
      </c>
      <c r="H118">
        <v>75</v>
      </c>
      <c r="I118" s="12">
        <f>H118*_xlfn.XLOOKUP(E118,Products!$A:$A,Products!$D:$D,0)</f>
        <v>4125</v>
      </c>
      <c r="J118" s="12">
        <f>H118*_xlfn.XLOOKUP(E118,Products!$A:$A,Products!$E:$E,0)</f>
        <v>525</v>
      </c>
      <c r="K118" s="13">
        <f>IFERROR((I118-J118)/I118,0)</f>
        <v>0.8727272727272727</v>
      </c>
      <c r="L118" t="s">
        <v>58</v>
      </c>
    </row>
    <row r="119" spans="1:12" x14ac:dyDescent="0.25">
      <c r="A119" t="s">
        <v>172</v>
      </c>
      <c r="B119" s="11">
        <v>46200</v>
      </c>
      <c r="C119" t="s">
        <v>8</v>
      </c>
      <c r="D119" t="s">
        <v>48</v>
      </c>
      <c r="E119" t="s">
        <v>52</v>
      </c>
      <c r="F119" t="str">
        <f>_xlfn.XLOOKUP(E119,Products!$A:$A,Products!$B:$B,"?")</f>
        <v>Setup</v>
      </c>
      <c r="G119" t="str">
        <f>_xlfn.XLOOKUP(E119,Products!$A:$A,Products!$C:$C,"?")</f>
        <v>Services</v>
      </c>
      <c r="H119">
        <v>1</v>
      </c>
      <c r="I119" s="12">
        <f>H119*_xlfn.XLOOKUP(E119,Products!$A:$A,Products!$D:$D,0)</f>
        <v>450</v>
      </c>
      <c r="J119" s="12">
        <f>H119*_xlfn.XLOOKUP(E119,Products!$A:$A,Products!$E:$E,0)</f>
        <v>260</v>
      </c>
      <c r="K119" s="13">
        <f>IFERROR((I119-J119)/I119,0)</f>
        <v>0.4222222222222222</v>
      </c>
      <c r="L119" t="s">
        <v>50</v>
      </c>
    </row>
    <row r="120" spans="1:12" x14ac:dyDescent="0.25">
      <c r="A120" t="s">
        <v>173</v>
      </c>
      <c r="B120" s="11">
        <v>46183</v>
      </c>
      <c r="C120" t="s">
        <v>8</v>
      </c>
      <c r="D120" t="s">
        <v>48</v>
      </c>
      <c r="E120" t="s">
        <v>78</v>
      </c>
      <c r="F120" t="str">
        <f>_xlfn.XLOOKUP(E120,Products!$A:$A,Products!$B:$B,"?")</f>
        <v>Cloud Seat</v>
      </c>
      <c r="G120" t="str">
        <f>_xlfn.XLOOKUP(E120,Products!$A:$A,Products!$C:$C,"?")</f>
        <v>Software</v>
      </c>
      <c r="H120">
        <v>7</v>
      </c>
      <c r="I120" s="12">
        <f>H120*_xlfn.XLOOKUP(E120,Products!$A:$A,Products!$D:$D,0)</f>
        <v>210</v>
      </c>
      <c r="J120" s="12">
        <f>H120*_xlfn.XLOOKUP(E120,Products!$A:$A,Products!$E:$E,0)</f>
        <v>28</v>
      </c>
      <c r="K120" s="13">
        <f>IFERROR((I120-J120)/I120,0)</f>
        <v>0.8666666666666667</v>
      </c>
      <c r="L120" t="s">
        <v>50</v>
      </c>
    </row>
    <row r="121" spans="1:12" x14ac:dyDescent="0.25">
      <c r="A121" t="s">
        <v>174</v>
      </c>
      <c r="B121" s="11">
        <v>46189</v>
      </c>
      <c r="C121" t="s">
        <v>9</v>
      </c>
      <c r="D121" t="s">
        <v>17</v>
      </c>
      <c r="E121" t="s">
        <v>57</v>
      </c>
      <c r="F121" t="str">
        <f>_xlfn.XLOOKUP(E121,Products!$A:$A,Products!$B:$B,"?")</f>
        <v>Training day</v>
      </c>
      <c r="G121" t="str">
        <f>_xlfn.XLOOKUP(E121,Products!$A:$A,Products!$C:$C,"?")</f>
        <v>Services</v>
      </c>
      <c r="H121">
        <v>1</v>
      </c>
      <c r="I121" s="12">
        <f>H121*_xlfn.XLOOKUP(E121,Products!$A:$A,Products!$D:$D,0)</f>
        <v>1200</v>
      </c>
      <c r="J121" s="12">
        <f>H121*_xlfn.XLOOKUP(E121,Products!$A:$A,Products!$E:$E,0)</f>
        <v>640</v>
      </c>
      <c r="K121" s="13">
        <f>IFERROR((I121-J121)/I121,0)</f>
        <v>0.4666666666666667</v>
      </c>
      <c r="L121" t="s">
        <v>58</v>
      </c>
    </row>
    <row r="122" spans="1:12" x14ac:dyDescent="0.25">
      <c r="A122" t="s">
        <v>175</v>
      </c>
      <c r="B122" s="11">
        <v>46209</v>
      </c>
      <c r="C122" t="s">
        <v>10</v>
      </c>
      <c r="D122" t="s">
        <v>21</v>
      </c>
      <c r="E122" t="s">
        <v>49</v>
      </c>
      <c r="F122" t="str">
        <f>_xlfn.XLOOKUP(E122,Products!$A:$A,Products!$B:$B,"?")</f>
        <v>Widget</v>
      </c>
      <c r="G122" t="str">
        <f>_xlfn.XLOOKUP(E122,Products!$A:$A,Products!$C:$C,"?")</f>
        <v>Hardware</v>
      </c>
      <c r="H122">
        <v>78</v>
      </c>
      <c r="I122" s="12">
        <f>H122*_xlfn.XLOOKUP(E122,Products!$A:$A,Products!$D:$D,0)</f>
        <v>1872</v>
      </c>
      <c r="J122" s="12">
        <f>H122*_xlfn.XLOOKUP(E122,Products!$A:$A,Products!$E:$E,0)</f>
        <v>858</v>
      </c>
      <c r="K122" s="13">
        <f>IFERROR((I122-J122)/I122,0)</f>
        <v>0.5416666666666666</v>
      </c>
      <c r="L122" t="s">
        <v>50</v>
      </c>
    </row>
    <row r="123" spans="1:12" x14ac:dyDescent="0.25">
      <c r="A123" t="s">
        <v>176</v>
      </c>
      <c r="B123" s="11">
        <v>46230</v>
      </c>
      <c r="C123" t="s">
        <v>11</v>
      </c>
      <c r="D123" t="s">
        <v>20</v>
      </c>
      <c r="E123" t="s">
        <v>49</v>
      </c>
      <c r="F123" t="str">
        <f>_xlfn.XLOOKUP(E123,Products!$A:$A,Products!$B:$B,"?")</f>
        <v>Widget</v>
      </c>
      <c r="G123" t="str">
        <f>_xlfn.XLOOKUP(E123,Products!$A:$A,Products!$C:$C,"?")</f>
        <v>Hardware</v>
      </c>
      <c r="H123">
        <v>21</v>
      </c>
      <c r="I123" s="12">
        <f>H123*_xlfn.XLOOKUP(E123,Products!$A:$A,Products!$D:$D,0)</f>
        <v>504</v>
      </c>
      <c r="J123" s="12">
        <f>H123*_xlfn.XLOOKUP(E123,Products!$A:$A,Products!$E:$E,0)</f>
        <v>231</v>
      </c>
      <c r="K123" s="13">
        <f>IFERROR((I123-J123)/I123,0)</f>
        <v>0.5416666666666666</v>
      </c>
      <c r="L123" t="s">
        <v>50</v>
      </c>
    </row>
    <row r="124" spans="1:12" x14ac:dyDescent="0.25">
      <c r="A124" t="s">
        <v>177</v>
      </c>
      <c r="B124" s="11">
        <v>46220</v>
      </c>
      <c r="C124" t="s">
        <v>8</v>
      </c>
      <c r="D124" t="s">
        <v>23</v>
      </c>
      <c r="E124" t="s">
        <v>68</v>
      </c>
      <c r="F124" t="str">
        <f>_xlfn.XLOOKUP(E124,Products!$A:$A,Products!$B:$B,"?")</f>
        <v>Widget Pro</v>
      </c>
      <c r="G124" t="str">
        <f>_xlfn.XLOOKUP(E124,Products!$A:$A,Products!$C:$C,"?")</f>
        <v>Hardware</v>
      </c>
      <c r="H124">
        <v>54</v>
      </c>
      <c r="I124" s="12">
        <f>H124*_xlfn.XLOOKUP(E124,Products!$A:$A,Products!$D:$D,0)</f>
        <v>2646</v>
      </c>
      <c r="J124" s="12">
        <f>H124*_xlfn.XLOOKUP(E124,Products!$A:$A,Products!$E:$E,0)</f>
        <v>1188</v>
      </c>
      <c r="K124" s="13">
        <f>IFERROR((I124-J124)/I124,0)</f>
        <v>0.5510204081632653</v>
      </c>
      <c r="L124" t="s">
        <v>50</v>
      </c>
    </row>
    <row r="125" spans="1:12" x14ac:dyDescent="0.25">
      <c r="A125" t="s">
        <v>178</v>
      </c>
      <c r="B125" s="11">
        <v>46230</v>
      </c>
      <c r="C125" t="s">
        <v>9</v>
      </c>
      <c r="D125" t="s">
        <v>17</v>
      </c>
      <c r="E125" t="s">
        <v>52</v>
      </c>
      <c r="F125" t="str">
        <f>_xlfn.XLOOKUP(E125,Products!$A:$A,Products!$B:$B,"?")</f>
        <v>Setup</v>
      </c>
      <c r="G125" t="str">
        <f>_xlfn.XLOOKUP(E125,Products!$A:$A,Products!$C:$C,"?")</f>
        <v>Services</v>
      </c>
      <c r="H125">
        <v>2</v>
      </c>
      <c r="I125" s="12">
        <f>H125*_xlfn.XLOOKUP(E125,Products!$A:$A,Products!$D:$D,0)</f>
        <v>900</v>
      </c>
      <c r="J125" s="12">
        <f>H125*_xlfn.XLOOKUP(E125,Products!$A:$A,Products!$E:$E,0)</f>
        <v>520</v>
      </c>
      <c r="K125" s="13">
        <f>IFERROR((I125-J125)/I125,0)</f>
        <v>0.4222222222222222</v>
      </c>
      <c r="L125" t="s">
        <v>50</v>
      </c>
    </row>
    <row r="126" spans="1:12" x14ac:dyDescent="0.25">
      <c r="A126" t="s">
        <v>179</v>
      </c>
      <c r="B126" s="11">
        <v>46207</v>
      </c>
      <c r="C126" t="s">
        <v>8</v>
      </c>
      <c r="D126" t="s">
        <v>48</v>
      </c>
      <c r="E126" t="s">
        <v>57</v>
      </c>
      <c r="F126" t="str">
        <f>_xlfn.XLOOKUP(E126,Products!$A:$A,Products!$B:$B,"?")</f>
        <v>Training day</v>
      </c>
      <c r="G126" t="str">
        <f>_xlfn.XLOOKUP(E126,Products!$A:$A,Products!$C:$C,"?")</f>
        <v>Services</v>
      </c>
      <c r="H126">
        <v>1</v>
      </c>
      <c r="I126" s="12">
        <f>H126*_xlfn.XLOOKUP(E126,Products!$A:$A,Products!$D:$D,0)</f>
        <v>1200</v>
      </c>
      <c r="J126" s="12">
        <f>H126*_xlfn.XLOOKUP(E126,Products!$A:$A,Products!$E:$E,0)</f>
        <v>640</v>
      </c>
      <c r="K126" s="13">
        <f>IFERROR((I126-J126)/I126,0)</f>
        <v>0.4666666666666667</v>
      </c>
      <c r="L126" t="s">
        <v>50</v>
      </c>
    </row>
    <row r="127" spans="1:12" x14ac:dyDescent="0.25">
      <c r="A127" t="s">
        <v>180</v>
      </c>
      <c r="B127" s="11">
        <v>46214</v>
      </c>
      <c r="C127" t="s">
        <v>8</v>
      </c>
      <c r="D127" t="s">
        <v>23</v>
      </c>
      <c r="E127" t="s">
        <v>66</v>
      </c>
      <c r="F127" t="str">
        <f>_xlfn.XLOOKUP(E127,Products!$A:$A,Products!$B:$B,"?")</f>
        <v>Cloud Seat Plus</v>
      </c>
      <c r="G127" t="str">
        <f>_xlfn.XLOOKUP(E127,Products!$A:$A,Products!$C:$C,"?")</f>
        <v>Software</v>
      </c>
      <c r="H127">
        <v>10</v>
      </c>
      <c r="I127" s="12">
        <f>H127*_xlfn.XLOOKUP(E127,Products!$A:$A,Products!$D:$D,0)</f>
        <v>550</v>
      </c>
      <c r="J127" s="12">
        <f>H127*_xlfn.XLOOKUP(E127,Products!$A:$A,Products!$E:$E,0)</f>
        <v>70</v>
      </c>
      <c r="K127" s="13">
        <f>IFERROR((I127-J127)/I127,0)</f>
        <v>0.8727272727272727</v>
      </c>
      <c r="L127" t="s">
        <v>50</v>
      </c>
    </row>
    <row r="128" spans="1:12" x14ac:dyDescent="0.25">
      <c r="A128" t="s">
        <v>181</v>
      </c>
      <c r="B128" s="11">
        <v>46212</v>
      </c>
      <c r="C128" t="s">
        <v>8</v>
      </c>
      <c r="D128" t="s">
        <v>48</v>
      </c>
      <c r="E128" t="s">
        <v>49</v>
      </c>
      <c r="F128" t="str">
        <f>_xlfn.XLOOKUP(E128,Products!$A:$A,Products!$B:$B,"?")</f>
        <v>Widget</v>
      </c>
      <c r="G128" t="str">
        <f>_xlfn.XLOOKUP(E128,Products!$A:$A,Products!$C:$C,"?")</f>
        <v>Hardware</v>
      </c>
      <c r="H128">
        <v>33</v>
      </c>
      <c r="I128" s="12">
        <f>H128*_xlfn.XLOOKUP(E128,Products!$A:$A,Products!$D:$D,0)</f>
        <v>792</v>
      </c>
      <c r="J128" s="12">
        <f>H128*_xlfn.XLOOKUP(E128,Products!$A:$A,Products!$E:$E,0)</f>
        <v>363</v>
      </c>
      <c r="K128" s="13">
        <f>IFERROR((I128-J128)/I128,0)</f>
        <v>0.5416666666666666</v>
      </c>
      <c r="L128" t="s">
        <v>50</v>
      </c>
    </row>
    <row r="129" spans="1:12" x14ac:dyDescent="0.25">
      <c r="A129" t="s">
        <v>182</v>
      </c>
      <c r="B129" s="11">
        <v>46208</v>
      </c>
      <c r="C129" t="s">
        <v>11</v>
      </c>
      <c r="D129" t="s">
        <v>19</v>
      </c>
      <c r="E129" t="s">
        <v>57</v>
      </c>
      <c r="F129" t="str">
        <f>_xlfn.XLOOKUP(E129,Products!$A:$A,Products!$B:$B,"?")</f>
        <v>Training day</v>
      </c>
      <c r="G129" t="str">
        <f>_xlfn.XLOOKUP(E129,Products!$A:$A,Products!$C:$C,"?")</f>
        <v>Services</v>
      </c>
      <c r="H129">
        <v>2</v>
      </c>
      <c r="I129" s="12">
        <f>H129*_xlfn.XLOOKUP(E129,Products!$A:$A,Products!$D:$D,0)</f>
        <v>2400</v>
      </c>
      <c r="J129" s="12">
        <f>H129*_xlfn.XLOOKUP(E129,Products!$A:$A,Products!$E:$E,0)</f>
        <v>1280</v>
      </c>
      <c r="K129" s="13">
        <f>IFERROR((I129-J129)/I129,0)</f>
        <v>0.4666666666666667</v>
      </c>
      <c r="L129" t="s">
        <v>50</v>
      </c>
    </row>
    <row r="130" spans="1:12" x14ac:dyDescent="0.25">
      <c r="A130" t="s">
        <v>183</v>
      </c>
      <c r="B130" s="11">
        <v>46221</v>
      </c>
      <c r="C130" t="s">
        <v>8</v>
      </c>
      <c r="D130" t="s">
        <v>23</v>
      </c>
      <c r="E130" t="s">
        <v>52</v>
      </c>
      <c r="F130" t="str">
        <f>_xlfn.XLOOKUP(E130,Products!$A:$A,Products!$B:$B,"?")</f>
        <v>Setup</v>
      </c>
      <c r="G130" t="str">
        <f>_xlfn.XLOOKUP(E130,Products!$A:$A,Products!$C:$C,"?")</f>
        <v>Services</v>
      </c>
      <c r="H130">
        <v>2</v>
      </c>
      <c r="I130" s="12">
        <f>H130*_xlfn.XLOOKUP(E130,Products!$A:$A,Products!$D:$D,0)</f>
        <v>900</v>
      </c>
      <c r="J130" s="12">
        <f>H130*_xlfn.XLOOKUP(E130,Products!$A:$A,Products!$E:$E,0)</f>
        <v>520</v>
      </c>
      <c r="K130" s="13">
        <f>IFERROR((I130-J130)/I130,0)</f>
        <v>0.4222222222222222</v>
      </c>
      <c r="L130" t="s">
        <v>50</v>
      </c>
    </row>
    <row r="131" spans="1:12" x14ac:dyDescent="0.25">
      <c r="A131" t="s">
        <v>184</v>
      </c>
      <c r="B131" s="11">
        <v>46206</v>
      </c>
      <c r="C131" t="s">
        <v>8</v>
      </c>
      <c r="D131" t="s">
        <v>48</v>
      </c>
      <c r="E131" t="s">
        <v>55</v>
      </c>
      <c r="F131" t="str">
        <f>_xlfn.XLOOKUP(E131,Products!$A:$A,Products!$B:$B,"?")</f>
        <v>Gadget</v>
      </c>
      <c r="G131" t="str">
        <f>_xlfn.XLOOKUP(E131,Products!$A:$A,Products!$C:$C,"?")</f>
        <v>Hardware</v>
      </c>
      <c r="H131">
        <v>63</v>
      </c>
      <c r="I131" s="12">
        <f>H131*_xlfn.XLOOKUP(E131,Products!$A:$A,Products!$D:$D,0)</f>
        <v>5607</v>
      </c>
      <c r="J131" s="12">
        <f>H131*_xlfn.XLOOKUP(E131,Products!$A:$A,Products!$E:$E,0)</f>
        <v>2961</v>
      </c>
      <c r="K131" s="13">
        <f>IFERROR((I131-J131)/I131,0)</f>
        <v>0.47191011235955055</v>
      </c>
      <c r="L131" t="s">
        <v>50</v>
      </c>
    </row>
    <row r="132" spans="1:12" x14ac:dyDescent="0.25">
      <c r="A132" t="s">
        <v>27</v>
      </c>
      <c r="B132" s="11">
        <v>46210</v>
      </c>
      <c r="C132" t="s">
        <v>8</v>
      </c>
      <c r="D132" t="s">
        <v>48</v>
      </c>
      <c r="E132" t="s">
        <v>68</v>
      </c>
      <c r="F132" t="str">
        <f>_xlfn.XLOOKUP(E132,Products!$A:$A,Products!$B:$B,"?")</f>
        <v>Widget Pro</v>
      </c>
      <c r="G132" t="str">
        <f>_xlfn.XLOOKUP(E132,Products!$A:$A,Products!$C:$C,"?")</f>
        <v>Hardware</v>
      </c>
      <c r="H132">
        <v>73</v>
      </c>
      <c r="I132" s="12">
        <f>H132*_xlfn.XLOOKUP(E132,Products!$A:$A,Products!$D:$D,0)</f>
        <v>3577</v>
      </c>
      <c r="J132" s="12">
        <f>H132*_xlfn.XLOOKUP(E132,Products!$A:$A,Products!$E:$E,0)</f>
        <v>1606</v>
      </c>
      <c r="K132" s="13">
        <f>IFERROR((I132-J132)/I132,0)</f>
        <v>0.5510204081632653</v>
      </c>
      <c r="L132" t="s">
        <v>58</v>
      </c>
    </row>
    <row r="133" spans="1:12" x14ac:dyDescent="0.25">
      <c r="A133" t="s">
        <v>185</v>
      </c>
      <c r="B133" s="11">
        <v>46205</v>
      </c>
      <c r="C133" t="s">
        <v>10</v>
      </c>
      <c r="D133" t="s">
        <v>21</v>
      </c>
      <c r="E133" t="s">
        <v>55</v>
      </c>
      <c r="F133" t="str">
        <f>_xlfn.XLOOKUP(E133,Products!$A:$A,Products!$B:$B,"?")</f>
        <v>Gadget</v>
      </c>
      <c r="G133" t="str">
        <f>_xlfn.XLOOKUP(E133,Products!$A:$A,Products!$C:$C,"?")</f>
        <v>Hardware</v>
      </c>
      <c r="H133">
        <v>21</v>
      </c>
      <c r="I133" s="12">
        <f>H133*_xlfn.XLOOKUP(E133,Products!$A:$A,Products!$D:$D,0)</f>
        <v>1869</v>
      </c>
      <c r="J133" s="12">
        <f>H133*_xlfn.XLOOKUP(E133,Products!$A:$A,Products!$E:$E,0)</f>
        <v>987</v>
      </c>
      <c r="K133" s="13">
        <f>IFERROR((I133-J133)/I133,0)</f>
        <v>0.47191011235955055</v>
      </c>
      <c r="L133" t="s">
        <v>50</v>
      </c>
    </row>
    <row r="134" spans="1:12" x14ac:dyDescent="0.25">
      <c r="A134" t="s">
        <v>186</v>
      </c>
      <c r="B134" s="11">
        <v>46221</v>
      </c>
      <c r="C134" t="s">
        <v>9</v>
      </c>
      <c r="D134" t="s">
        <v>17</v>
      </c>
      <c r="E134" t="s">
        <v>68</v>
      </c>
      <c r="F134" t="str">
        <f>_xlfn.XLOOKUP(E134,Products!$A:$A,Products!$B:$B,"?")</f>
        <v>Widget Pro</v>
      </c>
      <c r="G134" t="str">
        <f>_xlfn.XLOOKUP(E134,Products!$A:$A,Products!$C:$C,"?")</f>
        <v>Hardware</v>
      </c>
      <c r="H134">
        <v>38</v>
      </c>
      <c r="I134" s="12">
        <f>H134*_xlfn.XLOOKUP(E134,Products!$A:$A,Products!$D:$D,0)</f>
        <v>1862</v>
      </c>
      <c r="J134" s="12">
        <f>H134*_xlfn.XLOOKUP(E134,Products!$A:$A,Products!$E:$E,0)</f>
        <v>836</v>
      </c>
      <c r="K134" s="13">
        <f>IFERROR((I134-J134)/I134,0)</f>
        <v>0.5510204081632653</v>
      </c>
      <c r="L134" t="s">
        <v>50</v>
      </c>
    </row>
    <row r="135" spans="1:12" x14ac:dyDescent="0.25">
      <c r="A135" t="s">
        <v>187</v>
      </c>
      <c r="B135" s="11">
        <v>46224</v>
      </c>
      <c r="C135" t="s">
        <v>9</v>
      </c>
      <c r="D135" t="s">
        <v>17</v>
      </c>
      <c r="E135" t="s">
        <v>57</v>
      </c>
      <c r="F135" t="str">
        <f>_xlfn.XLOOKUP(E135,Products!$A:$A,Products!$B:$B,"?")</f>
        <v>Training day</v>
      </c>
      <c r="G135" t="str">
        <f>_xlfn.XLOOKUP(E135,Products!$A:$A,Products!$C:$C,"?")</f>
        <v>Services</v>
      </c>
      <c r="H135">
        <v>3</v>
      </c>
      <c r="I135" s="12">
        <f>H135*_xlfn.XLOOKUP(E135,Products!$A:$A,Products!$D:$D,0)</f>
        <v>3600</v>
      </c>
      <c r="J135" s="12">
        <f>H135*_xlfn.XLOOKUP(E135,Products!$A:$A,Products!$E:$E,0)</f>
        <v>1920</v>
      </c>
      <c r="K135" s="13">
        <f>IFERROR((I135-J135)/I135,0)</f>
        <v>0.4666666666666667</v>
      </c>
      <c r="L135" t="s">
        <v>50</v>
      </c>
    </row>
    <row r="136" spans="1:12" x14ac:dyDescent="0.25">
      <c r="A136" t="s">
        <v>188</v>
      </c>
      <c r="B136" s="11">
        <v>46225</v>
      </c>
      <c r="C136" t="s">
        <v>11</v>
      </c>
      <c r="D136" t="s">
        <v>19</v>
      </c>
      <c r="E136" t="s">
        <v>57</v>
      </c>
      <c r="F136" t="str">
        <f>_xlfn.XLOOKUP(E136,Products!$A:$A,Products!$B:$B,"?")</f>
        <v>Training day</v>
      </c>
      <c r="G136" t="str">
        <f>_xlfn.XLOOKUP(E136,Products!$A:$A,Products!$C:$C,"?")</f>
        <v>Services</v>
      </c>
      <c r="H136">
        <v>2</v>
      </c>
      <c r="I136" s="12">
        <f>H136*_xlfn.XLOOKUP(E136,Products!$A:$A,Products!$D:$D,0)</f>
        <v>2400</v>
      </c>
      <c r="J136" s="12">
        <f>H136*_xlfn.XLOOKUP(E136,Products!$A:$A,Products!$E:$E,0)</f>
        <v>1280</v>
      </c>
      <c r="K136" s="13">
        <f>IFERROR((I136-J136)/I136,0)</f>
        <v>0.4666666666666667</v>
      </c>
      <c r="L136" t="s">
        <v>50</v>
      </c>
    </row>
    <row r="137" spans="1:12" x14ac:dyDescent="0.25">
      <c r="A137" t="s">
        <v>189</v>
      </c>
      <c r="B137" s="11">
        <v>46210</v>
      </c>
      <c r="C137" t="s">
        <v>8</v>
      </c>
      <c r="D137" t="s">
        <v>23</v>
      </c>
      <c r="E137" t="s">
        <v>68</v>
      </c>
      <c r="F137" t="str">
        <f>_xlfn.XLOOKUP(E137,Products!$A:$A,Products!$B:$B,"?")</f>
        <v>Widget Pro</v>
      </c>
      <c r="G137" t="str">
        <f>_xlfn.XLOOKUP(E137,Products!$A:$A,Products!$C:$C,"?")</f>
        <v>Hardware</v>
      </c>
      <c r="H137">
        <v>21</v>
      </c>
      <c r="I137" s="12">
        <f>H137*_xlfn.XLOOKUP(E137,Products!$A:$A,Products!$D:$D,0)</f>
        <v>1029</v>
      </c>
      <c r="J137" s="12">
        <f>H137*_xlfn.XLOOKUP(E137,Products!$A:$A,Products!$E:$E,0)</f>
        <v>462</v>
      </c>
      <c r="K137" s="13">
        <f>IFERROR((I137-J137)/I137,0)</f>
        <v>0.5510204081632653</v>
      </c>
      <c r="L137" t="s">
        <v>50</v>
      </c>
    </row>
    <row r="138" spans="1:12" x14ac:dyDescent="0.25">
      <c r="A138" t="s">
        <v>190</v>
      </c>
      <c r="B138" s="11">
        <v>46224</v>
      </c>
      <c r="C138" t="s">
        <v>11</v>
      </c>
      <c r="D138" t="s">
        <v>20</v>
      </c>
      <c r="E138" t="s">
        <v>52</v>
      </c>
      <c r="F138" t="str">
        <f>_xlfn.XLOOKUP(E138,Products!$A:$A,Products!$B:$B,"?")</f>
        <v>Setup</v>
      </c>
      <c r="G138" t="str">
        <f>_xlfn.XLOOKUP(E138,Products!$A:$A,Products!$C:$C,"?")</f>
        <v>Services</v>
      </c>
      <c r="H138">
        <v>2</v>
      </c>
      <c r="I138" s="12">
        <f>H138*_xlfn.XLOOKUP(E138,Products!$A:$A,Products!$D:$D,0)</f>
        <v>900</v>
      </c>
      <c r="J138" s="12">
        <f>H138*_xlfn.XLOOKUP(E138,Products!$A:$A,Products!$E:$E,0)</f>
        <v>520</v>
      </c>
      <c r="K138" s="13">
        <f>IFERROR((I138-J138)/I138,0)</f>
        <v>0.4222222222222222</v>
      </c>
      <c r="L138" t="s">
        <v>58</v>
      </c>
    </row>
    <row r="139" spans="1:12" x14ac:dyDescent="0.25">
      <c r="A139" t="s">
        <v>191</v>
      </c>
      <c r="B139" s="11">
        <v>46208</v>
      </c>
      <c r="C139" t="s">
        <v>8</v>
      </c>
      <c r="D139" t="s">
        <v>48</v>
      </c>
      <c r="E139" t="s">
        <v>66</v>
      </c>
      <c r="F139" t="str">
        <f>_xlfn.XLOOKUP(E139,Products!$A:$A,Products!$B:$B,"?")</f>
        <v>Cloud Seat Plus</v>
      </c>
      <c r="G139" t="str">
        <f>_xlfn.XLOOKUP(E139,Products!$A:$A,Products!$C:$C,"?")</f>
        <v>Software</v>
      </c>
      <c r="H139">
        <v>39</v>
      </c>
      <c r="I139" s="12">
        <f>H139*_xlfn.XLOOKUP(E139,Products!$A:$A,Products!$D:$D,0)</f>
        <v>2145</v>
      </c>
      <c r="J139" s="12">
        <f>H139*_xlfn.XLOOKUP(E139,Products!$A:$A,Products!$E:$E,0)</f>
        <v>273</v>
      </c>
      <c r="K139" s="13">
        <f>IFERROR((I139-J139)/I139,0)</f>
        <v>0.8727272727272727</v>
      </c>
      <c r="L139" t="s">
        <v>50</v>
      </c>
    </row>
    <row r="140" spans="1:12" x14ac:dyDescent="0.25">
      <c r="A140" t="s">
        <v>192</v>
      </c>
      <c r="B140" s="11">
        <v>46214</v>
      </c>
      <c r="C140" t="s">
        <v>8</v>
      </c>
      <c r="D140" t="s">
        <v>48</v>
      </c>
      <c r="E140" t="s">
        <v>52</v>
      </c>
      <c r="F140" t="str">
        <f>_xlfn.XLOOKUP(E140,Products!$A:$A,Products!$B:$B,"?")</f>
        <v>Setup</v>
      </c>
      <c r="G140" t="str">
        <f>_xlfn.XLOOKUP(E140,Products!$A:$A,Products!$C:$C,"?")</f>
        <v>Services</v>
      </c>
      <c r="H140">
        <v>1</v>
      </c>
      <c r="I140" s="12">
        <f>H140*_xlfn.XLOOKUP(E140,Products!$A:$A,Products!$D:$D,0)</f>
        <v>450</v>
      </c>
      <c r="J140" s="12">
        <f>H140*_xlfn.XLOOKUP(E140,Products!$A:$A,Products!$E:$E,0)</f>
        <v>260</v>
      </c>
      <c r="K140" s="13">
        <f>IFERROR((I140-J140)/I140,0)</f>
        <v>0.4222222222222222</v>
      </c>
      <c r="L140" t="s">
        <v>6</v>
      </c>
    </row>
    <row r="141" spans="1:12" x14ac:dyDescent="0.25">
      <c r="A141" t="s">
        <v>193</v>
      </c>
      <c r="B141" s="11">
        <v>46211</v>
      </c>
      <c r="C141" t="s">
        <v>9</v>
      </c>
      <c r="D141" t="s">
        <v>17</v>
      </c>
      <c r="E141" t="s">
        <v>68</v>
      </c>
      <c r="F141" t="str">
        <f>_xlfn.XLOOKUP(E141,Products!$A:$A,Products!$B:$B,"?")</f>
        <v>Widget Pro</v>
      </c>
      <c r="G141" t="str">
        <f>_xlfn.XLOOKUP(E141,Products!$A:$A,Products!$C:$C,"?")</f>
        <v>Hardware</v>
      </c>
      <c r="H141">
        <v>7</v>
      </c>
      <c r="I141" s="12">
        <f>H141*_xlfn.XLOOKUP(E141,Products!$A:$A,Products!$D:$D,0)</f>
        <v>343</v>
      </c>
      <c r="J141" s="12">
        <f>H141*_xlfn.XLOOKUP(E141,Products!$A:$A,Products!$E:$E,0)</f>
        <v>154</v>
      </c>
      <c r="K141" s="13">
        <f>IFERROR((I141-J141)/I141,0)</f>
        <v>0.5510204081632653</v>
      </c>
      <c r="L141" t="s">
        <v>50</v>
      </c>
    </row>
    <row r="142" spans="1:12" x14ac:dyDescent="0.25">
      <c r="A142" t="s">
        <v>194</v>
      </c>
      <c r="B142" s="11">
        <v>46242</v>
      </c>
      <c r="C142" t="s">
        <v>9</v>
      </c>
      <c r="D142" t="s">
        <v>17</v>
      </c>
      <c r="E142" t="s">
        <v>66</v>
      </c>
      <c r="F142" t="str">
        <f>_xlfn.XLOOKUP(E142,Products!$A:$A,Products!$B:$B,"?")</f>
        <v>Cloud Seat Plus</v>
      </c>
      <c r="G142" t="str">
        <f>_xlfn.XLOOKUP(E142,Products!$A:$A,Products!$C:$C,"?")</f>
        <v>Software</v>
      </c>
      <c r="H142">
        <v>75</v>
      </c>
      <c r="I142" s="12">
        <f>H142*_xlfn.XLOOKUP(E142,Products!$A:$A,Products!$D:$D,0)</f>
        <v>4125</v>
      </c>
      <c r="J142" s="12">
        <f>H142*_xlfn.XLOOKUP(E142,Products!$A:$A,Products!$E:$E,0)</f>
        <v>525</v>
      </c>
      <c r="K142" s="13">
        <f>IFERROR((I142-J142)/I142,0)</f>
        <v>0.8727272727272727</v>
      </c>
      <c r="L142" t="s">
        <v>50</v>
      </c>
    </row>
    <row r="143" spans="1:12" x14ac:dyDescent="0.25">
      <c r="A143" t="s">
        <v>195</v>
      </c>
      <c r="B143" s="11">
        <v>46251</v>
      </c>
      <c r="C143" t="s">
        <v>11</v>
      </c>
      <c r="D143" t="s">
        <v>19</v>
      </c>
      <c r="E143" t="s">
        <v>52</v>
      </c>
      <c r="F143" t="str">
        <f>_xlfn.XLOOKUP(E143,Products!$A:$A,Products!$B:$B,"?")</f>
        <v>Setup</v>
      </c>
      <c r="G143" t="str">
        <f>_xlfn.XLOOKUP(E143,Products!$A:$A,Products!$C:$C,"?")</f>
        <v>Services</v>
      </c>
      <c r="H143">
        <v>3</v>
      </c>
      <c r="I143" s="12">
        <f>H143*_xlfn.XLOOKUP(E143,Products!$A:$A,Products!$D:$D,0)</f>
        <v>1350</v>
      </c>
      <c r="J143" s="12">
        <f>H143*_xlfn.XLOOKUP(E143,Products!$A:$A,Products!$E:$E,0)</f>
        <v>780</v>
      </c>
      <c r="K143" s="13">
        <f>IFERROR((I143-J143)/I143,0)</f>
        <v>0.4222222222222222</v>
      </c>
      <c r="L143" t="s">
        <v>50</v>
      </c>
    </row>
    <row r="144" spans="1:12" x14ac:dyDescent="0.25">
      <c r="A144" t="s">
        <v>196</v>
      </c>
      <c r="B144" s="11">
        <v>46238</v>
      </c>
      <c r="C144" t="s">
        <v>11</v>
      </c>
      <c r="D144" t="s">
        <v>20</v>
      </c>
      <c r="E144" t="s">
        <v>68</v>
      </c>
      <c r="F144" t="str">
        <f>_xlfn.XLOOKUP(E144,Products!$A:$A,Products!$B:$B,"?")</f>
        <v>Widget Pro</v>
      </c>
      <c r="G144" t="str">
        <f>_xlfn.XLOOKUP(E144,Products!$A:$A,Products!$C:$C,"?")</f>
        <v>Hardware</v>
      </c>
      <c r="H144">
        <v>47</v>
      </c>
      <c r="I144" s="12">
        <f>H144*_xlfn.XLOOKUP(E144,Products!$A:$A,Products!$D:$D,0)</f>
        <v>2303</v>
      </c>
      <c r="J144" s="12">
        <f>H144*_xlfn.XLOOKUP(E144,Products!$A:$A,Products!$E:$E,0)</f>
        <v>1034</v>
      </c>
      <c r="K144" s="13">
        <f>IFERROR((I144-J144)/I144,0)</f>
        <v>0.5510204081632653</v>
      </c>
      <c r="L144" t="s">
        <v>50</v>
      </c>
    </row>
    <row r="145" spans="1:12" x14ac:dyDescent="0.25">
      <c r="A145" t="s">
        <v>197</v>
      </c>
      <c r="B145" s="11">
        <v>46246</v>
      </c>
      <c r="C145" t="s">
        <v>8</v>
      </c>
      <c r="D145" t="s">
        <v>23</v>
      </c>
      <c r="E145" t="s">
        <v>49</v>
      </c>
      <c r="F145" t="str">
        <f>_xlfn.XLOOKUP(E145,Products!$A:$A,Products!$B:$B,"?")</f>
        <v>Widget</v>
      </c>
      <c r="G145" t="str">
        <f>_xlfn.XLOOKUP(E145,Products!$A:$A,Products!$C:$C,"?")</f>
        <v>Hardware</v>
      </c>
      <c r="H145">
        <v>15</v>
      </c>
      <c r="I145" s="12">
        <f>H145*_xlfn.XLOOKUP(E145,Products!$A:$A,Products!$D:$D,0)</f>
        <v>360</v>
      </c>
      <c r="J145" s="12">
        <f>H145*_xlfn.XLOOKUP(E145,Products!$A:$A,Products!$E:$E,0)</f>
        <v>165</v>
      </c>
      <c r="K145" s="13">
        <f>IFERROR((I145-J145)/I145,0)</f>
        <v>0.5416666666666666</v>
      </c>
      <c r="L145" t="s">
        <v>50</v>
      </c>
    </row>
    <row r="146" spans="1:12" x14ac:dyDescent="0.25">
      <c r="A146" t="s">
        <v>198</v>
      </c>
      <c r="B146" s="11">
        <v>46250</v>
      </c>
      <c r="C146" t="s">
        <v>11</v>
      </c>
      <c r="D146" t="s">
        <v>19</v>
      </c>
      <c r="E146" t="s">
        <v>57</v>
      </c>
      <c r="F146" t="str">
        <f>_xlfn.XLOOKUP(E146,Products!$A:$A,Products!$B:$B,"?")</f>
        <v>Training day</v>
      </c>
      <c r="G146" t="str">
        <f>_xlfn.XLOOKUP(E146,Products!$A:$A,Products!$C:$C,"?")</f>
        <v>Services</v>
      </c>
      <c r="H146">
        <v>1</v>
      </c>
      <c r="I146" s="12">
        <f>H146*_xlfn.XLOOKUP(E146,Products!$A:$A,Products!$D:$D,0)</f>
        <v>1200</v>
      </c>
      <c r="J146" s="12">
        <f>H146*_xlfn.XLOOKUP(E146,Products!$A:$A,Products!$E:$E,0)</f>
        <v>640</v>
      </c>
      <c r="K146" s="13">
        <f>IFERROR((I146-J146)/I146,0)</f>
        <v>0.4666666666666667</v>
      </c>
      <c r="L146" t="s">
        <v>50</v>
      </c>
    </row>
    <row r="147" spans="1:12" x14ac:dyDescent="0.25">
      <c r="A147" t="s">
        <v>199</v>
      </c>
      <c r="B147" s="11">
        <v>46260</v>
      </c>
      <c r="C147" t="s">
        <v>11</v>
      </c>
      <c r="D147" t="s">
        <v>19</v>
      </c>
      <c r="E147" t="s">
        <v>68</v>
      </c>
      <c r="F147" t="str">
        <f>_xlfn.XLOOKUP(E147,Products!$A:$A,Products!$B:$B,"?")</f>
        <v>Widget Pro</v>
      </c>
      <c r="G147" t="str">
        <f>_xlfn.XLOOKUP(E147,Products!$A:$A,Products!$C:$C,"?")</f>
        <v>Hardware</v>
      </c>
      <c r="H147">
        <v>7</v>
      </c>
      <c r="I147" s="12">
        <f>H147*_xlfn.XLOOKUP(E147,Products!$A:$A,Products!$D:$D,0)</f>
        <v>343</v>
      </c>
      <c r="J147" s="12">
        <f>H147*_xlfn.XLOOKUP(E147,Products!$A:$A,Products!$E:$E,0)</f>
        <v>154</v>
      </c>
      <c r="K147" s="13">
        <f>IFERROR((I147-J147)/I147,0)</f>
        <v>0.5510204081632653</v>
      </c>
      <c r="L147" t="s">
        <v>50</v>
      </c>
    </row>
    <row r="148" spans="1:12" x14ac:dyDescent="0.25">
      <c r="A148" t="s">
        <v>200</v>
      </c>
      <c r="B148" s="11">
        <v>46241</v>
      </c>
      <c r="C148" t="s">
        <v>11</v>
      </c>
      <c r="D148" t="s">
        <v>20</v>
      </c>
      <c r="E148" t="s">
        <v>68</v>
      </c>
      <c r="F148" t="str">
        <f>_xlfn.XLOOKUP(E148,Products!$A:$A,Products!$B:$B,"?")</f>
        <v>Widget Pro</v>
      </c>
      <c r="G148" t="str">
        <f>_xlfn.XLOOKUP(E148,Products!$A:$A,Products!$C:$C,"?")</f>
        <v>Hardware</v>
      </c>
      <c r="H148">
        <v>46</v>
      </c>
      <c r="I148" s="12">
        <f>H148*_xlfn.XLOOKUP(E148,Products!$A:$A,Products!$D:$D,0)</f>
        <v>2254</v>
      </c>
      <c r="J148" s="12">
        <f>H148*_xlfn.XLOOKUP(E148,Products!$A:$A,Products!$E:$E,0)</f>
        <v>1012</v>
      </c>
      <c r="K148" s="13">
        <f>IFERROR((I148-J148)/I148,0)</f>
        <v>0.5510204081632653</v>
      </c>
      <c r="L148" t="s">
        <v>58</v>
      </c>
    </row>
    <row r="149" spans="1:12" x14ac:dyDescent="0.25">
      <c r="A149" t="s">
        <v>201</v>
      </c>
      <c r="B149" s="11">
        <v>46250</v>
      </c>
      <c r="C149" t="s">
        <v>8</v>
      </c>
      <c r="D149" t="s">
        <v>23</v>
      </c>
      <c r="E149" t="s">
        <v>78</v>
      </c>
      <c r="F149" t="str">
        <f>_xlfn.XLOOKUP(E149,Products!$A:$A,Products!$B:$B,"?")</f>
        <v>Cloud Seat</v>
      </c>
      <c r="G149" t="str">
        <f>_xlfn.XLOOKUP(E149,Products!$A:$A,Products!$C:$C,"?")</f>
        <v>Software</v>
      </c>
      <c r="H149">
        <v>62</v>
      </c>
      <c r="I149" s="12">
        <f>H149*_xlfn.XLOOKUP(E149,Products!$A:$A,Products!$D:$D,0)</f>
        <v>1860</v>
      </c>
      <c r="J149" s="12">
        <f>H149*_xlfn.XLOOKUP(E149,Products!$A:$A,Products!$E:$E,0)</f>
        <v>248</v>
      </c>
      <c r="K149" s="13">
        <f>IFERROR((I149-J149)/I149,0)</f>
        <v>0.8666666666666667</v>
      </c>
      <c r="L149" t="s">
        <v>50</v>
      </c>
    </row>
    <row r="150" spans="1:12" x14ac:dyDescent="0.25">
      <c r="A150" t="s">
        <v>202</v>
      </c>
      <c r="B150" s="11">
        <v>46255</v>
      </c>
      <c r="C150" t="s">
        <v>11</v>
      </c>
      <c r="D150" t="s">
        <v>19</v>
      </c>
      <c r="E150" t="s">
        <v>49</v>
      </c>
      <c r="F150" t="str">
        <f>_xlfn.XLOOKUP(E150,Products!$A:$A,Products!$B:$B,"?")</f>
        <v>Widget</v>
      </c>
      <c r="G150" t="str">
        <f>_xlfn.XLOOKUP(E150,Products!$A:$A,Products!$C:$C,"?")</f>
        <v>Hardware</v>
      </c>
      <c r="H150">
        <v>16</v>
      </c>
      <c r="I150" s="12">
        <f>H150*_xlfn.XLOOKUP(E150,Products!$A:$A,Products!$D:$D,0)</f>
        <v>384</v>
      </c>
      <c r="J150" s="12">
        <f>H150*_xlfn.XLOOKUP(E150,Products!$A:$A,Products!$E:$E,0)</f>
        <v>176</v>
      </c>
      <c r="K150" s="13">
        <f>IFERROR((I150-J150)/I150,0)</f>
        <v>0.5416666666666666</v>
      </c>
      <c r="L150" t="s">
        <v>50</v>
      </c>
    </row>
    <row r="151" spans="1:12" x14ac:dyDescent="0.25">
      <c r="A151" t="s">
        <v>28</v>
      </c>
      <c r="B151" s="11">
        <v>46243</v>
      </c>
      <c r="C151" t="s">
        <v>8</v>
      </c>
      <c r="D151" t="s">
        <v>48</v>
      </c>
      <c r="E151" t="s">
        <v>66</v>
      </c>
      <c r="F151" t="str">
        <f>_xlfn.XLOOKUP(E151,Products!$A:$A,Products!$B:$B,"?")</f>
        <v>Cloud Seat Plus</v>
      </c>
      <c r="G151" t="str">
        <f>_xlfn.XLOOKUP(E151,Products!$A:$A,Products!$C:$C,"?")</f>
        <v>Software</v>
      </c>
      <c r="H151">
        <v>58</v>
      </c>
      <c r="I151" s="12">
        <f>H151*_xlfn.XLOOKUP(E151,Products!$A:$A,Products!$D:$D,0)</f>
        <v>3190</v>
      </c>
      <c r="J151" s="12">
        <f>H151*_xlfn.XLOOKUP(E151,Products!$A:$A,Products!$E:$E,0)</f>
        <v>406</v>
      </c>
      <c r="K151" s="13">
        <f>IFERROR((I151-J151)/I151,0)</f>
        <v>0.8727272727272727</v>
      </c>
      <c r="L151" t="s">
        <v>58</v>
      </c>
    </row>
    <row r="152" spans="1:12" x14ac:dyDescent="0.25">
      <c r="A152" t="s">
        <v>203</v>
      </c>
      <c r="B152" s="11">
        <v>46238</v>
      </c>
      <c r="C152" t="s">
        <v>9</v>
      </c>
      <c r="D152" t="s">
        <v>17</v>
      </c>
      <c r="E152" t="s">
        <v>68</v>
      </c>
      <c r="F152" t="str">
        <f>_xlfn.XLOOKUP(E152,Products!$A:$A,Products!$B:$B,"?")</f>
        <v>Widget Pro</v>
      </c>
      <c r="G152" t="str">
        <f>_xlfn.XLOOKUP(E152,Products!$A:$A,Products!$C:$C,"?")</f>
        <v>Hardware</v>
      </c>
      <c r="H152">
        <v>42</v>
      </c>
      <c r="I152" s="12">
        <f>H152*_xlfn.XLOOKUP(E152,Products!$A:$A,Products!$D:$D,0)</f>
        <v>2058</v>
      </c>
      <c r="J152" s="12">
        <f>H152*_xlfn.XLOOKUP(E152,Products!$A:$A,Products!$E:$E,0)</f>
        <v>924</v>
      </c>
      <c r="K152" s="13">
        <f>IFERROR((I152-J152)/I152,0)</f>
        <v>0.5510204081632653</v>
      </c>
      <c r="L152" t="s">
        <v>50</v>
      </c>
    </row>
    <row r="153" spans="1:12" x14ac:dyDescent="0.25">
      <c r="A153" t="s">
        <v>204</v>
      </c>
      <c r="B153" s="11">
        <v>46256</v>
      </c>
      <c r="C153" t="s">
        <v>11</v>
      </c>
      <c r="D153" t="s">
        <v>19</v>
      </c>
      <c r="E153" t="s">
        <v>55</v>
      </c>
      <c r="F153" t="str">
        <f>_xlfn.XLOOKUP(E153,Products!$A:$A,Products!$B:$B,"?")</f>
        <v>Gadget</v>
      </c>
      <c r="G153" t="str">
        <f>_xlfn.XLOOKUP(E153,Products!$A:$A,Products!$C:$C,"?")</f>
        <v>Hardware</v>
      </c>
      <c r="H153">
        <v>27</v>
      </c>
      <c r="I153" s="12">
        <f>H153*_xlfn.XLOOKUP(E153,Products!$A:$A,Products!$D:$D,0)</f>
        <v>2403</v>
      </c>
      <c r="J153" s="12">
        <f>H153*_xlfn.XLOOKUP(E153,Products!$A:$A,Products!$E:$E,0)</f>
        <v>1269</v>
      </c>
      <c r="K153" s="13">
        <f>IFERROR((I153-J153)/I153,0)</f>
        <v>0.47191011235955055</v>
      </c>
      <c r="L153" t="s">
        <v>50</v>
      </c>
    </row>
    <row r="154" spans="1:12" x14ac:dyDescent="0.25">
      <c r="A154" t="s">
        <v>29</v>
      </c>
      <c r="B154" s="11">
        <v>46243</v>
      </c>
      <c r="C154" t="s">
        <v>9</v>
      </c>
      <c r="D154" t="s">
        <v>17</v>
      </c>
      <c r="E154" t="s">
        <v>55</v>
      </c>
      <c r="F154" t="str">
        <f>_xlfn.XLOOKUP(E154,Products!$A:$A,Products!$B:$B,"?")</f>
        <v>Gadget</v>
      </c>
      <c r="G154" t="str">
        <f>_xlfn.XLOOKUP(E154,Products!$A:$A,Products!$C:$C,"?")</f>
        <v>Hardware</v>
      </c>
      <c r="H154">
        <v>73</v>
      </c>
      <c r="I154" s="12">
        <f>H154*_xlfn.XLOOKUP(E154,Products!$A:$A,Products!$D:$D,0)</f>
        <v>6497</v>
      </c>
      <c r="J154" s="12">
        <f>H154*_xlfn.XLOOKUP(E154,Products!$A:$A,Products!$E:$E,0)</f>
        <v>3431</v>
      </c>
      <c r="K154" s="13">
        <f>IFERROR((I154-J154)/I154,0)</f>
        <v>0.47191011235955055</v>
      </c>
      <c r="L154" t="s">
        <v>58</v>
      </c>
    </row>
    <row r="155" spans="1:12" x14ac:dyDescent="0.25">
      <c r="A155" t="s">
        <v>205</v>
      </c>
      <c r="B155" s="11">
        <v>46248</v>
      </c>
      <c r="C155" t="s">
        <v>11</v>
      </c>
      <c r="D155" t="s">
        <v>19</v>
      </c>
      <c r="E155" t="s">
        <v>52</v>
      </c>
      <c r="F155" t="str">
        <f>_xlfn.XLOOKUP(E155,Products!$A:$A,Products!$B:$B,"?")</f>
        <v>Setup</v>
      </c>
      <c r="G155" t="str">
        <f>_xlfn.XLOOKUP(E155,Products!$A:$A,Products!$C:$C,"?")</f>
        <v>Services</v>
      </c>
      <c r="H155">
        <v>3</v>
      </c>
      <c r="I155" s="12">
        <f>H155*_xlfn.XLOOKUP(E155,Products!$A:$A,Products!$D:$D,0)</f>
        <v>1350</v>
      </c>
      <c r="J155" s="12">
        <f>H155*_xlfn.XLOOKUP(E155,Products!$A:$A,Products!$E:$E,0)</f>
        <v>780</v>
      </c>
      <c r="K155" s="13">
        <f>IFERROR((I155-J155)/I155,0)</f>
        <v>0.4222222222222222</v>
      </c>
      <c r="L155" t="s">
        <v>50</v>
      </c>
    </row>
    <row r="156" spans="1:12" x14ac:dyDescent="0.25">
      <c r="A156" t="s">
        <v>206</v>
      </c>
      <c r="B156" s="11">
        <v>46243</v>
      </c>
      <c r="C156" t="s">
        <v>8</v>
      </c>
      <c r="D156" t="s">
        <v>23</v>
      </c>
      <c r="E156" t="s">
        <v>78</v>
      </c>
      <c r="F156" t="str">
        <f>_xlfn.XLOOKUP(E156,Products!$A:$A,Products!$B:$B,"?")</f>
        <v>Cloud Seat</v>
      </c>
      <c r="G156" t="str">
        <f>_xlfn.XLOOKUP(E156,Products!$A:$A,Products!$C:$C,"?")</f>
        <v>Software</v>
      </c>
      <c r="H156">
        <v>12</v>
      </c>
      <c r="I156" s="12">
        <f>H156*_xlfn.XLOOKUP(E156,Products!$A:$A,Products!$D:$D,0)</f>
        <v>360</v>
      </c>
      <c r="J156" s="12">
        <f>H156*_xlfn.XLOOKUP(E156,Products!$A:$A,Products!$E:$E,0)</f>
        <v>48</v>
      </c>
      <c r="K156" s="13">
        <f>IFERROR((I156-J156)/I156,0)</f>
        <v>0.8666666666666667</v>
      </c>
      <c r="L156" t="s">
        <v>58</v>
      </c>
    </row>
    <row r="157" spans="1:12" x14ac:dyDescent="0.25">
      <c r="A157" t="s">
        <v>207</v>
      </c>
      <c r="B157" s="11">
        <v>46247</v>
      </c>
      <c r="C157" t="s">
        <v>8</v>
      </c>
      <c r="D157" t="s">
        <v>48</v>
      </c>
      <c r="E157" t="s">
        <v>66</v>
      </c>
      <c r="F157" t="str">
        <f>_xlfn.XLOOKUP(E157,Products!$A:$A,Products!$B:$B,"?")</f>
        <v>Cloud Seat Plus</v>
      </c>
      <c r="G157" t="str">
        <f>_xlfn.XLOOKUP(E157,Products!$A:$A,Products!$C:$C,"?")</f>
        <v>Software</v>
      </c>
      <c r="H157">
        <v>70</v>
      </c>
      <c r="I157" s="12">
        <f>H157*_xlfn.XLOOKUP(E157,Products!$A:$A,Products!$D:$D,0)</f>
        <v>3850</v>
      </c>
      <c r="J157" s="12">
        <f>H157*_xlfn.XLOOKUP(E157,Products!$A:$A,Products!$E:$E,0)</f>
        <v>490</v>
      </c>
      <c r="K157" s="13">
        <f>IFERROR((I157-J157)/I157,0)</f>
        <v>0.8727272727272727</v>
      </c>
      <c r="L157" t="s">
        <v>50</v>
      </c>
    </row>
    <row r="158" spans="1:12" x14ac:dyDescent="0.25">
      <c r="A158" t="s">
        <v>208</v>
      </c>
      <c r="B158" s="11">
        <v>46257</v>
      </c>
      <c r="C158" t="s">
        <v>11</v>
      </c>
      <c r="D158" t="s">
        <v>19</v>
      </c>
      <c r="E158" t="s">
        <v>55</v>
      </c>
      <c r="F158" t="str">
        <f>_xlfn.XLOOKUP(E158,Products!$A:$A,Products!$B:$B,"?")</f>
        <v>Gadget</v>
      </c>
      <c r="G158" t="str">
        <f>_xlfn.XLOOKUP(E158,Products!$A:$A,Products!$C:$C,"?")</f>
        <v>Hardware</v>
      </c>
      <c r="H158">
        <v>61</v>
      </c>
      <c r="I158" s="12">
        <f>H158*_xlfn.XLOOKUP(E158,Products!$A:$A,Products!$D:$D,0)</f>
        <v>5429</v>
      </c>
      <c r="J158" s="12">
        <f>H158*_xlfn.XLOOKUP(E158,Products!$A:$A,Products!$E:$E,0)</f>
        <v>2867</v>
      </c>
      <c r="K158" s="13">
        <f>IFERROR((I158-J158)/I158,0)</f>
        <v>0.47191011235955055</v>
      </c>
      <c r="L158" t="s">
        <v>6</v>
      </c>
    </row>
    <row r="159" spans="1:12" x14ac:dyDescent="0.25">
      <c r="A159" t="s">
        <v>209</v>
      </c>
      <c r="B159" s="11">
        <v>46260</v>
      </c>
      <c r="C159" t="s">
        <v>9</v>
      </c>
      <c r="D159" t="s">
        <v>17</v>
      </c>
      <c r="E159" t="s">
        <v>78</v>
      </c>
      <c r="F159" t="str">
        <f>_xlfn.XLOOKUP(E159,Products!$A:$A,Products!$B:$B,"?")</f>
        <v>Cloud Seat</v>
      </c>
      <c r="G159" t="str">
        <f>_xlfn.XLOOKUP(E159,Products!$A:$A,Products!$C:$C,"?")</f>
        <v>Software</v>
      </c>
      <c r="H159">
        <v>62</v>
      </c>
      <c r="I159" s="12">
        <f>H159*_xlfn.XLOOKUP(E159,Products!$A:$A,Products!$D:$D,0)</f>
        <v>1860</v>
      </c>
      <c r="J159" s="12">
        <f>H159*_xlfn.XLOOKUP(E159,Products!$A:$A,Products!$E:$E,0)</f>
        <v>248</v>
      </c>
      <c r="K159" s="13">
        <f>IFERROR((I159-J159)/I159,0)</f>
        <v>0.8666666666666667</v>
      </c>
      <c r="L159" t="s">
        <v>50</v>
      </c>
    </row>
    <row r="160" spans="1:12" x14ac:dyDescent="0.25">
      <c r="A160" t="s">
        <v>210</v>
      </c>
      <c r="B160" s="11">
        <v>46250</v>
      </c>
      <c r="C160" t="s">
        <v>8</v>
      </c>
      <c r="D160" t="s">
        <v>23</v>
      </c>
      <c r="E160" t="s">
        <v>68</v>
      </c>
      <c r="F160" t="str">
        <f>_xlfn.XLOOKUP(E160,Products!$A:$A,Products!$B:$B,"?")</f>
        <v>Widget Pro</v>
      </c>
      <c r="G160" t="str">
        <f>_xlfn.XLOOKUP(E160,Products!$A:$A,Products!$C:$C,"?")</f>
        <v>Hardware</v>
      </c>
      <c r="H160">
        <v>48</v>
      </c>
      <c r="I160" s="12">
        <f>H160*_xlfn.XLOOKUP(E160,Products!$A:$A,Products!$D:$D,0)</f>
        <v>2352</v>
      </c>
      <c r="J160" s="12">
        <f>H160*_xlfn.XLOOKUP(E160,Products!$A:$A,Products!$E:$E,0)</f>
        <v>1056</v>
      </c>
      <c r="K160" s="13">
        <f>IFERROR((I160-J160)/I160,0)</f>
        <v>0.5510204081632653</v>
      </c>
      <c r="L160" t="s">
        <v>50</v>
      </c>
    </row>
    <row r="161" spans="1:12" x14ac:dyDescent="0.25">
      <c r="A161" t="s">
        <v>211</v>
      </c>
      <c r="B161" s="11">
        <v>46252</v>
      </c>
      <c r="C161" t="s">
        <v>9</v>
      </c>
      <c r="D161" t="s">
        <v>17</v>
      </c>
      <c r="E161" t="s">
        <v>68</v>
      </c>
      <c r="F161" t="str">
        <f>_xlfn.XLOOKUP(E161,Products!$A:$A,Products!$B:$B,"?")</f>
        <v>Widget Pro</v>
      </c>
      <c r="G161" t="str">
        <f>_xlfn.XLOOKUP(E161,Products!$A:$A,Products!$C:$C,"?")</f>
        <v>Hardware</v>
      </c>
      <c r="H161">
        <v>19</v>
      </c>
      <c r="I161" s="12">
        <f>H161*_xlfn.XLOOKUP(E161,Products!$A:$A,Products!$D:$D,0)</f>
        <v>931</v>
      </c>
      <c r="J161" s="12">
        <f>H161*_xlfn.XLOOKUP(E161,Products!$A:$A,Products!$E:$E,0)</f>
        <v>418</v>
      </c>
      <c r="K161" s="13">
        <f>IFERROR((I161-J161)/I161,0)</f>
        <v>0.5510204081632653</v>
      </c>
      <c r="L161" t="s">
        <v>50</v>
      </c>
    </row>
    <row r="162" spans="1:12" x14ac:dyDescent="0.25">
      <c r="A162" t="s">
        <v>212</v>
      </c>
      <c r="B162" s="11">
        <v>46281</v>
      </c>
      <c r="C162" t="s">
        <v>11</v>
      </c>
      <c r="D162" t="s">
        <v>20</v>
      </c>
      <c r="E162" t="s">
        <v>78</v>
      </c>
      <c r="F162" t="str">
        <f>_xlfn.XLOOKUP(E162,Products!$A:$A,Products!$B:$B,"?")</f>
        <v>Cloud Seat</v>
      </c>
      <c r="G162" t="str">
        <f>_xlfn.XLOOKUP(E162,Products!$A:$A,Products!$C:$C,"?")</f>
        <v>Software</v>
      </c>
      <c r="H162">
        <v>80</v>
      </c>
      <c r="I162" s="12">
        <f>H162*_xlfn.XLOOKUP(E162,Products!$A:$A,Products!$D:$D,0)</f>
        <v>2400</v>
      </c>
      <c r="J162" s="12">
        <f>H162*_xlfn.XLOOKUP(E162,Products!$A:$A,Products!$E:$E,0)</f>
        <v>320</v>
      </c>
      <c r="K162" s="13">
        <f>IFERROR((I162-J162)/I162,0)</f>
        <v>0.8666666666666667</v>
      </c>
      <c r="L162" t="s">
        <v>50</v>
      </c>
    </row>
    <row r="163" spans="1:12" x14ac:dyDescent="0.25">
      <c r="A163" t="s">
        <v>213</v>
      </c>
      <c r="B163" s="11">
        <v>46269</v>
      </c>
      <c r="C163" t="s">
        <v>8</v>
      </c>
      <c r="D163" t="s">
        <v>48</v>
      </c>
      <c r="E163" t="s">
        <v>52</v>
      </c>
      <c r="F163" t="str">
        <f>_xlfn.XLOOKUP(E163,Products!$A:$A,Products!$B:$B,"?")</f>
        <v>Setup</v>
      </c>
      <c r="G163" t="str">
        <f>_xlfn.XLOOKUP(E163,Products!$A:$A,Products!$C:$C,"?")</f>
        <v>Services</v>
      </c>
      <c r="H163">
        <v>2</v>
      </c>
      <c r="I163" s="12">
        <f>H163*_xlfn.XLOOKUP(E163,Products!$A:$A,Products!$D:$D,0)</f>
        <v>900</v>
      </c>
      <c r="J163" s="12">
        <f>H163*_xlfn.XLOOKUP(E163,Products!$A:$A,Products!$E:$E,0)</f>
        <v>520</v>
      </c>
      <c r="K163" s="13">
        <f>IFERROR((I163-J163)/I163,0)</f>
        <v>0.4222222222222222</v>
      </c>
      <c r="L163" t="s">
        <v>50</v>
      </c>
    </row>
    <row r="164" spans="1:12" x14ac:dyDescent="0.25">
      <c r="A164" t="s">
        <v>30</v>
      </c>
      <c r="B164" s="11">
        <v>46281</v>
      </c>
      <c r="C164" t="s">
        <v>11</v>
      </c>
      <c r="D164" t="s">
        <v>19</v>
      </c>
      <c r="E164" t="s">
        <v>57</v>
      </c>
      <c r="F164" t="str">
        <f>_xlfn.XLOOKUP(E164,Products!$A:$A,Products!$B:$B,"?")</f>
        <v>Training day</v>
      </c>
      <c r="G164" t="str">
        <f>_xlfn.XLOOKUP(E164,Products!$A:$A,Products!$C:$C,"?")</f>
        <v>Services</v>
      </c>
      <c r="H164">
        <v>3</v>
      </c>
      <c r="I164" s="12">
        <f>H164*_xlfn.XLOOKUP(E164,Products!$A:$A,Products!$D:$D,0)</f>
        <v>3600</v>
      </c>
      <c r="J164" s="12">
        <f>H164*_xlfn.XLOOKUP(E164,Products!$A:$A,Products!$E:$E,0)</f>
        <v>1920</v>
      </c>
      <c r="K164" s="13">
        <f>IFERROR((I164-J164)/I164,0)</f>
        <v>0.4666666666666667</v>
      </c>
      <c r="L164" t="s">
        <v>58</v>
      </c>
    </row>
    <row r="165" spans="1:12" x14ac:dyDescent="0.25">
      <c r="A165" t="s">
        <v>214</v>
      </c>
      <c r="B165" s="11">
        <v>46279</v>
      </c>
      <c r="C165" t="s">
        <v>8</v>
      </c>
      <c r="D165" t="s">
        <v>48</v>
      </c>
      <c r="E165" t="s">
        <v>68</v>
      </c>
      <c r="F165" t="str">
        <f>_xlfn.XLOOKUP(E165,Products!$A:$A,Products!$B:$B,"?")</f>
        <v>Widget Pro</v>
      </c>
      <c r="G165" t="str">
        <f>_xlfn.XLOOKUP(E165,Products!$A:$A,Products!$C:$C,"?")</f>
        <v>Hardware</v>
      </c>
      <c r="H165">
        <v>54</v>
      </c>
      <c r="I165" s="12">
        <f>H165*_xlfn.XLOOKUP(E165,Products!$A:$A,Products!$D:$D,0)</f>
        <v>2646</v>
      </c>
      <c r="J165" s="12">
        <f>H165*_xlfn.XLOOKUP(E165,Products!$A:$A,Products!$E:$E,0)</f>
        <v>1188</v>
      </c>
      <c r="K165" s="13">
        <f>IFERROR((I165-J165)/I165,0)</f>
        <v>0.5510204081632653</v>
      </c>
      <c r="L165" t="s">
        <v>50</v>
      </c>
    </row>
    <row r="166" spans="1:12" x14ac:dyDescent="0.25">
      <c r="A166" t="s">
        <v>215</v>
      </c>
      <c r="B166" s="11">
        <v>46282</v>
      </c>
      <c r="C166" t="s">
        <v>8</v>
      </c>
      <c r="D166" t="s">
        <v>48</v>
      </c>
      <c r="E166" t="s">
        <v>68</v>
      </c>
      <c r="F166" t="str">
        <f>_xlfn.XLOOKUP(E166,Products!$A:$A,Products!$B:$B,"?")</f>
        <v>Widget Pro</v>
      </c>
      <c r="G166" t="str">
        <f>_xlfn.XLOOKUP(E166,Products!$A:$A,Products!$C:$C,"?")</f>
        <v>Hardware</v>
      </c>
      <c r="H166">
        <v>59</v>
      </c>
      <c r="I166" s="12">
        <f>H166*_xlfn.XLOOKUP(E166,Products!$A:$A,Products!$D:$D,0)</f>
        <v>2891</v>
      </c>
      <c r="J166" s="12">
        <f>H166*_xlfn.XLOOKUP(E166,Products!$A:$A,Products!$E:$E,0)</f>
        <v>1298</v>
      </c>
      <c r="K166" s="13">
        <f>IFERROR((I166-J166)/I166,0)</f>
        <v>0.5510204081632653</v>
      </c>
      <c r="L166" t="s">
        <v>6</v>
      </c>
    </row>
    <row r="167" spans="1:12" x14ac:dyDescent="0.25">
      <c r="A167" t="s">
        <v>216</v>
      </c>
      <c r="B167" s="11">
        <v>46287</v>
      </c>
      <c r="C167" t="s">
        <v>8</v>
      </c>
      <c r="D167" t="s">
        <v>23</v>
      </c>
      <c r="E167" t="s">
        <v>52</v>
      </c>
      <c r="F167" t="str">
        <f>_xlfn.XLOOKUP(E167,Products!$A:$A,Products!$B:$B,"?")</f>
        <v>Setup</v>
      </c>
      <c r="G167" t="str">
        <f>_xlfn.XLOOKUP(E167,Products!$A:$A,Products!$C:$C,"?")</f>
        <v>Services</v>
      </c>
      <c r="H167">
        <v>3</v>
      </c>
      <c r="I167" s="12">
        <f>H167*_xlfn.XLOOKUP(E167,Products!$A:$A,Products!$D:$D,0)</f>
        <v>1350</v>
      </c>
      <c r="J167" s="12">
        <f>H167*_xlfn.XLOOKUP(E167,Products!$A:$A,Products!$E:$E,0)</f>
        <v>780</v>
      </c>
      <c r="K167" s="13">
        <f>IFERROR((I167-J167)/I167,0)</f>
        <v>0.4222222222222222</v>
      </c>
      <c r="L167" t="s">
        <v>50</v>
      </c>
    </row>
    <row r="168" spans="1:12" x14ac:dyDescent="0.25">
      <c r="A168" t="s">
        <v>217</v>
      </c>
      <c r="B168" s="11">
        <v>46274</v>
      </c>
      <c r="C168" t="s">
        <v>10</v>
      </c>
      <c r="D168" t="s">
        <v>21</v>
      </c>
      <c r="E168" t="s">
        <v>78</v>
      </c>
      <c r="F168" t="str">
        <f>_xlfn.XLOOKUP(E168,Products!$A:$A,Products!$B:$B,"?")</f>
        <v>Cloud Seat</v>
      </c>
      <c r="G168" t="str">
        <f>_xlfn.XLOOKUP(E168,Products!$A:$A,Products!$C:$C,"?")</f>
        <v>Software</v>
      </c>
      <c r="H168">
        <v>13</v>
      </c>
      <c r="I168" s="12">
        <f>H168*_xlfn.XLOOKUP(E168,Products!$A:$A,Products!$D:$D,0)</f>
        <v>390</v>
      </c>
      <c r="J168" s="12">
        <f>H168*_xlfn.XLOOKUP(E168,Products!$A:$A,Products!$E:$E,0)</f>
        <v>52</v>
      </c>
      <c r="K168" s="13">
        <f>IFERROR((I168-J168)/I168,0)</f>
        <v>0.8666666666666667</v>
      </c>
      <c r="L168" t="s">
        <v>58</v>
      </c>
    </row>
    <row r="169" spans="1:12" x14ac:dyDescent="0.25">
      <c r="A169" t="s">
        <v>218</v>
      </c>
      <c r="B169" s="11">
        <v>46285</v>
      </c>
      <c r="C169" t="s">
        <v>10</v>
      </c>
      <c r="D169" t="s">
        <v>21</v>
      </c>
      <c r="E169" t="s">
        <v>68</v>
      </c>
      <c r="F169" t="str">
        <f>_xlfn.XLOOKUP(E169,Products!$A:$A,Products!$B:$B,"?")</f>
        <v>Widget Pro</v>
      </c>
      <c r="G169" t="str">
        <f>_xlfn.XLOOKUP(E169,Products!$A:$A,Products!$C:$C,"?")</f>
        <v>Hardware</v>
      </c>
      <c r="H169">
        <v>60</v>
      </c>
      <c r="I169" s="12">
        <f>H169*_xlfn.XLOOKUP(E169,Products!$A:$A,Products!$D:$D,0)</f>
        <v>2940</v>
      </c>
      <c r="J169" s="12">
        <f>H169*_xlfn.XLOOKUP(E169,Products!$A:$A,Products!$E:$E,0)</f>
        <v>1320</v>
      </c>
      <c r="K169" s="13">
        <f>IFERROR((I169-J169)/I169,0)</f>
        <v>0.5510204081632653</v>
      </c>
      <c r="L169" t="s">
        <v>6</v>
      </c>
    </row>
    <row r="170" spans="1:12" x14ac:dyDescent="0.25">
      <c r="A170" t="s">
        <v>219</v>
      </c>
      <c r="B170" s="11">
        <v>46278</v>
      </c>
      <c r="C170" t="s">
        <v>10</v>
      </c>
      <c r="D170" t="s">
        <v>21</v>
      </c>
      <c r="E170" t="s">
        <v>57</v>
      </c>
      <c r="F170" t="str">
        <f>_xlfn.XLOOKUP(E170,Products!$A:$A,Products!$B:$B,"?")</f>
        <v>Training day</v>
      </c>
      <c r="G170" t="str">
        <f>_xlfn.XLOOKUP(E170,Products!$A:$A,Products!$C:$C,"?")</f>
        <v>Services</v>
      </c>
      <c r="H170">
        <v>1</v>
      </c>
      <c r="I170" s="12">
        <f>H170*_xlfn.XLOOKUP(E170,Products!$A:$A,Products!$D:$D,0)</f>
        <v>1200</v>
      </c>
      <c r="J170" s="12">
        <f>H170*_xlfn.XLOOKUP(E170,Products!$A:$A,Products!$E:$E,0)</f>
        <v>640</v>
      </c>
      <c r="K170" s="13">
        <f>IFERROR((I170-J170)/I170,0)</f>
        <v>0.4666666666666667</v>
      </c>
      <c r="L170" t="s">
        <v>50</v>
      </c>
    </row>
    <row r="171" spans="1:12" x14ac:dyDescent="0.25">
      <c r="A171" t="s">
        <v>31</v>
      </c>
      <c r="B171" s="11">
        <v>46272</v>
      </c>
      <c r="C171" t="s">
        <v>10</v>
      </c>
      <c r="D171" t="s">
        <v>21</v>
      </c>
      <c r="E171" t="s">
        <v>57</v>
      </c>
      <c r="F171" t="str">
        <f>_xlfn.XLOOKUP(E171,Products!$A:$A,Products!$B:$B,"?")</f>
        <v>Training day</v>
      </c>
      <c r="G171" t="str">
        <f>_xlfn.XLOOKUP(E171,Products!$A:$A,Products!$C:$C,"?")</f>
        <v>Services</v>
      </c>
      <c r="H171">
        <v>3</v>
      </c>
      <c r="I171" s="12">
        <f>H171*_xlfn.XLOOKUP(E171,Products!$A:$A,Products!$D:$D,0)</f>
        <v>3600</v>
      </c>
      <c r="J171" s="12">
        <f>H171*_xlfn.XLOOKUP(E171,Products!$A:$A,Products!$E:$E,0)</f>
        <v>1920</v>
      </c>
      <c r="K171" s="13">
        <f>IFERROR((I171-J171)/I171,0)</f>
        <v>0.4666666666666667</v>
      </c>
      <c r="L171" t="s">
        <v>58</v>
      </c>
    </row>
    <row r="172" spans="1:12" x14ac:dyDescent="0.25">
      <c r="A172" t="s">
        <v>220</v>
      </c>
      <c r="B172" s="11">
        <v>46266</v>
      </c>
      <c r="C172" t="s">
        <v>9</v>
      </c>
      <c r="D172" t="s">
        <v>17</v>
      </c>
      <c r="E172" t="s">
        <v>78</v>
      </c>
      <c r="F172" t="str">
        <f>_xlfn.XLOOKUP(E172,Products!$A:$A,Products!$B:$B,"?")</f>
        <v>Cloud Seat</v>
      </c>
      <c r="G172" t="str">
        <f>_xlfn.XLOOKUP(E172,Products!$A:$A,Products!$C:$C,"?")</f>
        <v>Software</v>
      </c>
      <c r="H172">
        <v>48</v>
      </c>
      <c r="I172" s="12">
        <f>H172*_xlfn.XLOOKUP(E172,Products!$A:$A,Products!$D:$D,0)</f>
        <v>1440</v>
      </c>
      <c r="J172" s="12">
        <f>H172*_xlfn.XLOOKUP(E172,Products!$A:$A,Products!$E:$E,0)</f>
        <v>192</v>
      </c>
      <c r="K172" s="13">
        <f>IFERROR((I172-J172)/I172,0)</f>
        <v>0.8666666666666667</v>
      </c>
      <c r="L172" t="s">
        <v>58</v>
      </c>
    </row>
    <row r="173" spans="1:12" x14ac:dyDescent="0.25">
      <c r="A173" t="s">
        <v>221</v>
      </c>
      <c r="B173" s="11">
        <v>46291</v>
      </c>
      <c r="C173" t="s">
        <v>9</v>
      </c>
      <c r="D173" t="s">
        <v>17</v>
      </c>
      <c r="E173" t="s">
        <v>49</v>
      </c>
      <c r="F173" t="str">
        <f>_xlfn.XLOOKUP(E173,Products!$A:$A,Products!$B:$B,"?")</f>
        <v>Widget</v>
      </c>
      <c r="G173" t="str">
        <f>_xlfn.XLOOKUP(E173,Products!$A:$A,Products!$C:$C,"?")</f>
        <v>Hardware</v>
      </c>
      <c r="H173">
        <v>58</v>
      </c>
      <c r="I173" s="12">
        <f>H173*_xlfn.XLOOKUP(E173,Products!$A:$A,Products!$D:$D,0)</f>
        <v>1392</v>
      </c>
      <c r="J173" s="12">
        <f>H173*_xlfn.XLOOKUP(E173,Products!$A:$A,Products!$E:$E,0)</f>
        <v>638</v>
      </c>
      <c r="K173" s="13">
        <f>IFERROR((I173-J173)/I173,0)</f>
        <v>0.5416666666666666</v>
      </c>
      <c r="L173" t="s">
        <v>50</v>
      </c>
    </row>
    <row r="174" spans="1:12" x14ac:dyDescent="0.25">
      <c r="A174" t="s">
        <v>222</v>
      </c>
      <c r="B174" s="11">
        <v>46281</v>
      </c>
      <c r="C174" t="s">
        <v>11</v>
      </c>
      <c r="D174" t="s">
        <v>20</v>
      </c>
      <c r="E174" t="s">
        <v>78</v>
      </c>
      <c r="F174" t="str">
        <f>_xlfn.XLOOKUP(E174,Products!$A:$A,Products!$B:$B,"?")</f>
        <v>Cloud Seat</v>
      </c>
      <c r="G174" t="str">
        <f>_xlfn.XLOOKUP(E174,Products!$A:$A,Products!$C:$C,"?")</f>
        <v>Software</v>
      </c>
      <c r="H174">
        <v>48</v>
      </c>
      <c r="I174" s="12">
        <f>H174*_xlfn.XLOOKUP(E174,Products!$A:$A,Products!$D:$D,0)</f>
        <v>1440</v>
      </c>
      <c r="J174" s="12">
        <f>H174*_xlfn.XLOOKUP(E174,Products!$A:$A,Products!$E:$E,0)</f>
        <v>192</v>
      </c>
      <c r="K174" s="13">
        <f>IFERROR((I174-J174)/I174,0)</f>
        <v>0.8666666666666667</v>
      </c>
      <c r="L174" t="s">
        <v>50</v>
      </c>
    </row>
    <row r="175" spans="1:12" x14ac:dyDescent="0.25">
      <c r="A175" t="s">
        <v>223</v>
      </c>
      <c r="B175" s="11">
        <v>46290</v>
      </c>
      <c r="C175" t="s">
        <v>11</v>
      </c>
      <c r="D175" t="s">
        <v>19</v>
      </c>
      <c r="E175" t="s">
        <v>52</v>
      </c>
      <c r="F175" t="str">
        <f>_xlfn.XLOOKUP(E175,Products!$A:$A,Products!$B:$B,"?")</f>
        <v>Setup</v>
      </c>
      <c r="G175" t="str">
        <f>_xlfn.XLOOKUP(E175,Products!$A:$A,Products!$C:$C,"?")</f>
        <v>Services</v>
      </c>
      <c r="H175">
        <v>3</v>
      </c>
      <c r="I175" s="12">
        <f>H175*_xlfn.XLOOKUP(E175,Products!$A:$A,Products!$D:$D,0)</f>
        <v>1350</v>
      </c>
      <c r="J175" s="12">
        <f>H175*_xlfn.XLOOKUP(E175,Products!$A:$A,Products!$E:$E,0)</f>
        <v>780</v>
      </c>
      <c r="K175" s="13">
        <f>IFERROR((I175-J175)/I175,0)</f>
        <v>0.4222222222222222</v>
      </c>
      <c r="L175" t="s">
        <v>50</v>
      </c>
    </row>
    <row r="176" spans="1:12" x14ac:dyDescent="0.25">
      <c r="A176" t="s">
        <v>224</v>
      </c>
      <c r="B176" s="11">
        <v>46269</v>
      </c>
      <c r="C176" t="s">
        <v>11</v>
      </c>
      <c r="D176" t="s">
        <v>19</v>
      </c>
      <c r="E176" t="s">
        <v>78</v>
      </c>
      <c r="F176" t="str">
        <f>_xlfn.XLOOKUP(E176,Products!$A:$A,Products!$B:$B,"?")</f>
        <v>Cloud Seat</v>
      </c>
      <c r="G176" t="str">
        <f>_xlfn.XLOOKUP(E176,Products!$A:$A,Products!$C:$C,"?")</f>
        <v>Software</v>
      </c>
      <c r="H176">
        <v>53</v>
      </c>
      <c r="I176" s="12">
        <f>H176*_xlfn.XLOOKUP(E176,Products!$A:$A,Products!$D:$D,0)</f>
        <v>1590</v>
      </c>
      <c r="J176" s="12">
        <f>H176*_xlfn.XLOOKUP(E176,Products!$A:$A,Products!$E:$E,0)</f>
        <v>212</v>
      </c>
      <c r="K176" s="13">
        <f>IFERROR((I176-J176)/I176,0)</f>
        <v>0.8666666666666667</v>
      </c>
      <c r="L176" t="s">
        <v>50</v>
      </c>
    </row>
    <row r="177" spans="1:12" x14ac:dyDescent="0.25">
      <c r="A177" t="s">
        <v>225</v>
      </c>
      <c r="B177" s="11">
        <v>46281</v>
      </c>
      <c r="C177" t="s">
        <v>10</v>
      </c>
      <c r="D177" t="s">
        <v>21</v>
      </c>
      <c r="E177" t="s">
        <v>57</v>
      </c>
      <c r="F177" t="str">
        <f>_xlfn.XLOOKUP(E177,Products!$A:$A,Products!$B:$B,"?")</f>
        <v>Training day</v>
      </c>
      <c r="G177" t="str">
        <f>_xlfn.XLOOKUP(E177,Products!$A:$A,Products!$C:$C,"?")</f>
        <v>Services</v>
      </c>
      <c r="H177">
        <v>2</v>
      </c>
      <c r="I177" s="12">
        <f>H177*_xlfn.XLOOKUP(E177,Products!$A:$A,Products!$D:$D,0)</f>
        <v>2400</v>
      </c>
      <c r="J177" s="12">
        <f>H177*_xlfn.XLOOKUP(E177,Products!$A:$A,Products!$E:$E,0)</f>
        <v>1280</v>
      </c>
      <c r="K177" s="13">
        <f>IFERROR((I177-J177)/I177,0)</f>
        <v>0.4666666666666667</v>
      </c>
      <c r="L177" t="s">
        <v>58</v>
      </c>
    </row>
    <row r="178" spans="1:12" x14ac:dyDescent="0.25">
      <c r="A178" t="s">
        <v>226</v>
      </c>
      <c r="B178" s="11">
        <v>46267</v>
      </c>
      <c r="C178" t="s">
        <v>10</v>
      </c>
      <c r="D178" t="s">
        <v>21</v>
      </c>
      <c r="E178" t="s">
        <v>49</v>
      </c>
      <c r="F178" t="str">
        <f>_xlfn.XLOOKUP(E178,Products!$A:$A,Products!$B:$B,"?")</f>
        <v>Widget</v>
      </c>
      <c r="G178" t="str">
        <f>_xlfn.XLOOKUP(E178,Products!$A:$A,Products!$C:$C,"?")</f>
        <v>Hardware</v>
      </c>
      <c r="H178">
        <v>29</v>
      </c>
      <c r="I178" s="12">
        <f>H178*_xlfn.XLOOKUP(E178,Products!$A:$A,Products!$D:$D,0)</f>
        <v>696</v>
      </c>
      <c r="J178" s="12">
        <f>H178*_xlfn.XLOOKUP(E178,Products!$A:$A,Products!$E:$E,0)</f>
        <v>319</v>
      </c>
      <c r="K178" s="13">
        <f>IFERROR((I178-J178)/I178,0)</f>
        <v>0.5416666666666666</v>
      </c>
      <c r="L178" t="s">
        <v>50</v>
      </c>
    </row>
    <row r="179" spans="1:12" x14ac:dyDescent="0.25">
      <c r="A179" t="s">
        <v>227</v>
      </c>
      <c r="B179" s="11">
        <v>46274</v>
      </c>
      <c r="C179" t="s">
        <v>8</v>
      </c>
      <c r="D179" t="s">
        <v>23</v>
      </c>
      <c r="E179" t="s">
        <v>55</v>
      </c>
      <c r="F179" t="str">
        <f>_xlfn.XLOOKUP(E179,Products!$A:$A,Products!$B:$B,"?")</f>
        <v>Gadget</v>
      </c>
      <c r="G179" t="str">
        <f>_xlfn.XLOOKUP(E179,Products!$A:$A,Products!$C:$C,"?")</f>
        <v>Hardware</v>
      </c>
      <c r="H179">
        <v>35</v>
      </c>
      <c r="I179" s="12">
        <f>H179*_xlfn.XLOOKUP(E179,Products!$A:$A,Products!$D:$D,0)</f>
        <v>3115</v>
      </c>
      <c r="J179" s="12">
        <f>H179*_xlfn.XLOOKUP(E179,Products!$A:$A,Products!$E:$E,0)</f>
        <v>1645</v>
      </c>
      <c r="K179" s="13">
        <f>IFERROR((I179-J179)/I179,0)</f>
        <v>0.47191011235955055</v>
      </c>
      <c r="L179" t="s">
        <v>50</v>
      </c>
    </row>
    <row r="180" spans="1:12" x14ac:dyDescent="0.25">
      <c r="A180" t="s">
        <v>228</v>
      </c>
      <c r="B180" s="11">
        <v>46271</v>
      </c>
      <c r="C180" t="s">
        <v>11</v>
      </c>
      <c r="D180" t="s">
        <v>19</v>
      </c>
      <c r="E180" t="s">
        <v>57</v>
      </c>
      <c r="F180" t="str">
        <f>_xlfn.XLOOKUP(E180,Products!$A:$A,Products!$B:$B,"?")</f>
        <v>Training day</v>
      </c>
      <c r="G180" t="str">
        <f>_xlfn.XLOOKUP(E180,Products!$A:$A,Products!$C:$C,"?")</f>
        <v>Services</v>
      </c>
      <c r="H180">
        <v>3</v>
      </c>
      <c r="I180" s="12">
        <f>H180*_xlfn.XLOOKUP(E180,Products!$A:$A,Products!$D:$D,0)</f>
        <v>3600</v>
      </c>
      <c r="J180" s="12">
        <f>H180*_xlfn.XLOOKUP(E180,Products!$A:$A,Products!$E:$E,0)</f>
        <v>1920</v>
      </c>
      <c r="K180" s="13">
        <f>IFERROR((I180-J180)/I180,0)</f>
        <v>0.4666666666666667</v>
      </c>
      <c r="L180" t="s">
        <v>50</v>
      </c>
    </row>
    <row r="181" spans="1:12" x14ac:dyDescent="0.25">
      <c r="A181" t="s">
        <v>229</v>
      </c>
      <c r="B181" s="11">
        <v>46279</v>
      </c>
      <c r="C181" t="s">
        <v>11</v>
      </c>
      <c r="D181" t="s">
        <v>20</v>
      </c>
      <c r="E181" t="s">
        <v>66</v>
      </c>
      <c r="F181" t="str">
        <f>_xlfn.XLOOKUP(E181,Products!$A:$A,Products!$B:$B,"?")</f>
        <v>Cloud Seat Plus</v>
      </c>
      <c r="G181" t="str">
        <f>_xlfn.XLOOKUP(E181,Products!$A:$A,Products!$C:$C,"?")</f>
        <v>Software</v>
      </c>
      <c r="H181">
        <v>35</v>
      </c>
      <c r="I181" s="12">
        <f>H181*_xlfn.XLOOKUP(E181,Products!$A:$A,Products!$D:$D,0)</f>
        <v>1925</v>
      </c>
      <c r="J181" s="12">
        <f>H181*_xlfn.XLOOKUP(E181,Products!$A:$A,Products!$E:$E,0)</f>
        <v>245</v>
      </c>
      <c r="K181" s="13">
        <f>IFERROR((I181-J181)/I181,0)</f>
        <v>0.8727272727272727</v>
      </c>
      <c r="L181" t="s">
        <v>50</v>
      </c>
    </row>
    <row r="182" spans="1:12" x14ac:dyDescent="0.25">
      <c r="A182" t="s">
        <v>230</v>
      </c>
      <c r="B182" s="11">
        <v>46304</v>
      </c>
      <c r="C182" t="s">
        <v>9</v>
      </c>
      <c r="D182" t="s">
        <v>17</v>
      </c>
      <c r="E182" t="s">
        <v>66</v>
      </c>
      <c r="F182" t="str">
        <f>_xlfn.XLOOKUP(E182,Products!$A:$A,Products!$B:$B,"?")</f>
        <v>Cloud Seat Plus</v>
      </c>
      <c r="G182" t="str">
        <f>_xlfn.XLOOKUP(E182,Products!$A:$A,Products!$C:$C,"?")</f>
        <v>Software</v>
      </c>
      <c r="H182">
        <v>56</v>
      </c>
      <c r="I182" s="12">
        <f>H182*_xlfn.XLOOKUP(E182,Products!$A:$A,Products!$D:$D,0)</f>
        <v>3080</v>
      </c>
      <c r="J182" s="12">
        <f>H182*_xlfn.XLOOKUP(E182,Products!$A:$A,Products!$E:$E,0)</f>
        <v>392</v>
      </c>
      <c r="K182" s="13">
        <f>IFERROR((I182-J182)/I182,0)</f>
        <v>0.8727272727272727</v>
      </c>
      <c r="L182" t="s">
        <v>50</v>
      </c>
    </row>
    <row r="183" spans="1:12" x14ac:dyDescent="0.25">
      <c r="A183" t="s">
        <v>231</v>
      </c>
      <c r="B183" s="11">
        <v>46305</v>
      </c>
      <c r="C183" t="s">
        <v>11</v>
      </c>
      <c r="D183" t="s">
        <v>19</v>
      </c>
      <c r="E183" t="s">
        <v>68</v>
      </c>
      <c r="F183" t="str">
        <f>_xlfn.XLOOKUP(E183,Products!$A:$A,Products!$B:$B,"?")</f>
        <v>Widget Pro</v>
      </c>
      <c r="G183" t="str">
        <f>_xlfn.XLOOKUP(E183,Products!$A:$A,Products!$C:$C,"?")</f>
        <v>Hardware</v>
      </c>
      <c r="H183">
        <v>48</v>
      </c>
      <c r="I183" s="12">
        <f>H183*_xlfn.XLOOKUP(E183,Products!$A:$A,Products!$D:$D,0)</f>
        <v>2352</v>
      </c>
      <c r="J183" s="12">
        <f>H183*_xlfn.XLOOKUP(E183,Products!$A:$A,Products!$E:$E,0)</f>
        <v>1056</v>
      </c>
      <c r="K183" s="13">
        <f>IFERROR((I183-J183)/I183,0)</f>
        <v>0.5510204081632653</v>
      </c>
      <c r="L183" t="s">
        <v>58</v>
      </c>
    </row>
    <row r="184" spans="1:12" x14ac:dyDescent="0.25">
      <c r="A184" t="s">
        <v>232</v>
      </c>
      <c r="B184" s="11">
        <v>46301</v>
      </c>
      <c r="C184" t="s">
        <v>9</v>
      </c>
      <c r="D184" t="s">
        <v>17</v>
      </c>
      <c r="E184" t="s">
        <v>49</v>
      </c>
      <c r="F184" t="str">
        <f>_xlfn.XLOOKUP(E184,Products!$A:$A,Products!$B:$B,"?")</f>
        <v>Widget</v>
      </c>
      <c r="G184" t="str">
        <f>_xlfn.XLOOKUP(E184,Products!$A:$A,Products!$C:$C,"?")</f>
        <v>Hardware</v>
      </c>
      <c r="H184">
        <v>17</v>
      </c>
      <c r="I184" s="12">
        <f>H184*_xlfn.XLOOKUP(E184,Products!$A:$A,Products!$D:$D,0)</f>
        <v>408</v>
      </c>
      <c r="J184" s="12">
        <f>H184*_xlfn.XLOOKUP(E184,Products!$A:$A,Products!$E:$E,0)</f>
        <v>187</v>
      </c>
      <c r="K184" s="13">
        <f>IFERROR((I184-J184)/I184,0)</f>
        <v>0.5416666666666666</v>
      </c>
      <c r="L184" t="s">
        <v>50</v>
      </c>
    </row>
    <row r="185" spans="1:12" x14ac:dyDescent="0.25">
      <c r="A185" t="s">
        <v>233</v>
      </c>
      <c r="B185" s="11">
        <v>46297</v>
      </c>
      <c r="C185" t="s">
        <v>8</v>
      </c>
      <c r="D185" t="s">
        <v>48</v>
      </c>
      <c r="E185" t="s">
        <v>66</v>
      </c>
      <c r="F185" t="str">
        <f>_xlfn.XLOOKUP(E185,Products!$A:$A,Products!$B:$B,"?")</f>
        <v>Cloud Seat Plus</v>
      </c>
      <c r="G185" t="str">
        <f>_xlfn.XLOOKUP(E185,Products!$A:$A,Products!$C:$C,"?")</f>
        <v>Software</v>
      </c>
      <c r="H185">
        <v>70</v>
      </c>
      <c r="I185" s="12">
        <f>H185*_xlfn.XLOOKUP(E185,Products!$A:$A,Products!$D:$D,0)</f>
        <v>3850</v>
      </c>
      <c r="J185" s="12">
        <f>H185*_xlfn.XLOOKUP(E185,Products!$A:$A,Products!$E:$E,0)</f>
        <v>490</v>
      </c>
      <c r="K185" s="13">
        <f>IFERROR((I185-J185)/I185,0)</f>
        <v>0.8727272727272727</v>
      </c>
      <c r="L185" t="s">
        <v>50</v>
      </c>
    </row>
    <row r="186" spans="1:12" x14ac:dyDescent="0.25">
      <c r="A186" t="s">
        <v>234</v>
      </c>
      <c r="B186" s="11">
        <v>46314</v>
      </c>
      <c r="C186" t="s">
        <v>8</v>
      </c>
      <c r="D186" t="s">
        <v>23</v>
      </c>
      <c r="E186" t="s">
        <v>49</v>
      </c>
      <c r="F186" t="str">
        <f>_xlfn.XLOOKUP(E186,Products!$A:$A,Products!$B:$B,"?")</f>
        <v>Widget</v>
      </c>
      <c r="G186" t="str">
        <f>_xlfn.XLOOKUP(E186,Products!$A:$A,Products!$C:$C,"?")</f>
        <v>Hardware</v>
      </c>
      <c r="H186">
        <v>57</v>
      </c>
      <c r="I186" s="12">
        <f>H186*_xlfn.XLOOKUP(E186,Products!$A:$A,Products!$D:$D,0)</f>
        <v>1368</v>
      </c>
      <c r="J186" s="12">
        <f>H186*_xlfn.XLOOKUP(E186,Products!$A:$A,Products!$E:$E,0)</f>
        <v>627</v>
      </c>
      <c r="K186" s="13">
        <f>IFERROR((I186-J186)/I186,0)</f>
        <v>0.5416666666666666</v>
      </c>
      <c r="L186" t="s">
        <v>50</v>
      </c>
    </row>
    <row r="187" spans="1:12" x14ac:dyDescent="0.25">
      <c r="A187" t="s">
        <v>235</v>
      </c>
      <c r="B187" s="11">
        <v>46307</v>
      </c>
      <c r="C187" t="s">
        <v>11</v>
      </c>
      <c r="D187" t="s">
        <v>20</v>
      </c>
      <c r="E187" t="s">
        <v>52</v>
      </c>
      <c r="F187" t="str">
        <f>_xlfn.XLOOKUP(E187,Products!$A:$A,Products!$B:$B,"?")</f>
        <v>Setup</v>
      </c>
      <c r="G187" t="str">
        <f>_xlfn.XLOOKUP(E187,Products!$A:$A,Products!$C:$C,"?")</f>
        <v>Services</v>
      </c>
      <c r="H187">
        <v>3</v>
      </c>
      <c r="I187" s="12">
        <f>H187*_xlfn.XLOOKUP(E187,Products!$A:$A,Products!$D:$D,0)</f>
        <v>1350</v>
      </c>
      <c r="J187" s="12">
        <f>H187*_xlfn.XLOOKUP(E187,Products!$A:$A,Products!$E:$E,0)</f>
        <v>780</v>
      </c>
      <c r="K187" s="13">
        <f>IFERROR((I187-J187)/I187,0)</f>
        <v>0.4222222222222222</v>
      </c>
      <c r="L187" t="s">
        <v>50</v>
      </c>
    </row>
    <row r="188" spans="1:12" x14ac:dyDescent="0.25">
      <c r="A188" t="s">
        <v>32</v>
      </c>
      <c r="B188" s="11">
        <v>46321</v>
      </c>
      <c r="C188" t="s">
        <v>11</v>
      </c>
      <c r="D188" t="s">
        <v>20</v>
      </c>
      <c r="E188" t="s">
        <v>55</v>
      </c>
      <c r="F188" t="str">
        <f>_xlfn.XLOOKUP(E188,Products!$A:$A,Products!$B:$B,"?")</f>
        <v>Gadget</v>
      </c>
      <c r="G188" t="str">
        <f>_xlfn.XLOOKUP(E188,Products!$A:$A,Products!$C:$C,"?")</f>
        <v>Hardware</v>
      </c>
      <c r="H188">
        <v>48</v>
      </c>
      <c r="I188" s="12">
        <f>H188*_xlfn.XLOOKUP(E188,Products!$A:$A,Products!$D:$D,0)</f>
        <v>4272</v>
      </c>
      <c r="J188" s="12">
        <f>H188*_xlfn.XLOOKUP(E188,Products!$A:$A,Products!$E:$E,0)</f>
        <v>2256</v>
      </c>
      <c r="K188" s="13">
        <f>IFERROR((I188-J188)/I188,0)</f>
        <v>0.47191011235955055</v>
      </c>
      <c r="L188" t="s">
        <v>58</v>
      </c>
    </row>
    <row r="189" spans="1:12" x14ac:dyDescent="0.25">
      <c r="A189" t="s">
        <v>236</v>
      </c>
      <c r="B189" s="11">
        <v>46308</v>
      </c>
      <c r="C189" t="s">
        <v>11</v>
      </c>
      <c r="D189" t="s">
        <v>19</v>
      </c>
      <c r="E189" t="s">
        <v>66</v>
      </c>
      <c r="F189" t="str">
        <f>_xlfn.XLOOKUP(E189,Products!$A:$A,Products!$B:$B,"?")</f>
        <v>Cloud Seat Plus</v>
      </c>
      <c r="G189" t="str">
        <f>_xlfn.XLOOKUP(E189,Products!$A:$A,Products!$C:$C,"?")</f>
        <v>Software</v>
      </c>
      <c r="H189">
        <v>23</v>
      </c>
      <c r="I189" s="12">
        <f>H189*_xlfn.XLOOKUP(E189,Products!$A:$A,Products!$D:$D,0)</f>
        <v>1265</v>
      </c>
      <c r="J189" s="12">
        <f>H189*_xlfn.XLOOKUP(E189,Products!$A:$A,Products!$E:$E,0)</f>
        <v>161</v>
      </c>
      <c r="K189" s="13">
        <f>IFERROR((I189-J189)/I189,0)</f>
        <v>0.8727272727272727</v>
      </c>
      <c r="L189" t="s">
        <v>50</v>
      </c>
    </row>
    <row r="190" spans="1:12" x14ac:dyDescent="0.25">
      <c r="A190" t="s">
        <v>237</v>
      </c>
      <c r="B190" s="11">
        <v>46310</v>
      </c>
      <c r="C190" t="s">
        <v>8</v>
      </c>
      <c r="D190" t="s">
        <v>23</v>
      </c>
      <c r="E190" t="s">
        <v>49</v>
      </c>
      <c r="F190" t="str">
        <f>_xlfn.XLOOKUP(E190,Products!$A:$A,Products!$B:$B,"?")</f>
        <v>Widget</v>
      </c>
      <c r="G190" t="str">
        <f>_xlfn.XLOOKUP(E190,Products!$A:$A,Products!$C:$C,"?")</f>
        <v>Hardware</v>
      </c>
      <c r="H190">
        <v>74</v>
      </c>
      <c r="I190" s="12">
        <f>H190*_xlfn.XLOOKUP(E190,Products!$A:$A,Products!$D:$D,0)</f>
        <v>1776</v>
      </c>
      <c r="J190" s="12">
        <f>H190*_xlfn.XLOOKUP(E190,Products!$A:$A,Products!$E:$E,0)</f>
        <v>814</v>
      </c>
      <c r="K190" s="13">
        <f>IFERROR((I190-J190)/I190,0)</f>
        <v>0.5416666666666666</v>
      </c>
      <c r="L190" t="s">
        <v>58</v>
      </c>
    </row>
    <row r="191" spans="1:12" x14ac:dyDescent="0.25">
      <c r="A191" t="s">
        <v>238</v>
      </c>
      <c r="B191" s="11">
        <v>46314</v>
      </c>
      <c r="C191" t="s">
        <v>8</v>
      </c>
      <c r="D191" t="s">
        <v>48</v>
      </c>
      <c r="E191" t="s">
        <v>68</v>
      </c>
      <c r="F191" t="str">
        <f>_xlfn.XLOOKUP(E191,Products!$A:$A,Products!$B:$B,"?")</f>
        <v>Widget Pro</v>
      </c>
      <c r="G191" t="str">
        <f>_xlfn.XLOOKUP(E191,Products!$A:$A,Products!$C:$C,"?")</f>
        <v>Hardware</v>
      </c>
      <c r="H191">
        <v>47</v>
      </c>
      <c r="I191" s="12">
        <f>H191*_xlfn.XLOOKUP(E191,Products!$A:$A,Products!$D:$D,0)</f>
        <v>2303</v>
      </c>
      <c r="J191" s="12">
        <f>H191*_xlfn.XLOOKUP(E191,Products!$A:$A,Products!$E:$E,0)</f>
        <v>1034</v>
      </c>
      <c r="K191" s="13">
        <f>IFERROR((I191-J191)/I191,0)</f>
        <v>0.5510204081632653</v>
      </c>
      <c r="L191" t="s">
        <v>58</v>
      </c>
    </row>
    <row r="192" spans="1:12" x14ac:dyDescent="0.25">
      <c r="A192" t="s">
        <v>239</v>
      </c>
      <c r="B192" s="11">
        <v>46298</v>
      </c>
      <c r="C192" t="s">
        <v>8</v>
      </c>
      <c r="D192" t="s">
        <v>48</v>
      </c>
      <c r="E192" t="s">
        <v>52</v>
      </c>
      <c r="F192" t="str">
        <f>_xlfn.XLOOKUP(E192,Products!$A:$A,Products!$B:$B,"?")</f>
        <v>Setup</v>
      </c>
      <c r="G192" t="str">
        <f>_xlfn.XLOOKUP(E192,Products!$A:$A,Products!$C:$C,"?")</f>
        <v>Services</v>
      </c>
      <c r="H192">
        <v>3</v>
      </c>
      <c r="I192" s="12">
        <f>H192*_xlfn.XLOOKUP(E192,Products!$A:$A,Products!$D:$D,0)</f>
        <v>1350</v>
      </c>
      <c r="J192" s="12">
        <f>H192*_xlfn.XLOOKUP(E192,Products!$A:$A,Products!$E:$E,0)</f>
        <v>780</v>
      </c>
      <c r="K192" s="13">
        <f>IFERROR((I192-J192)/I192,0)</f>
        <v>0.4222222222222222</v>
      </c>
      <c r="L192" t="s">
        <v>50</v>
      </c>
    </row>
    <row r="193" spans="1:12" x14ac:dyDescent="0.25">
      <c r="A193" t="s">
        <v>240</v>
      </c>
      <c r="B193" s="11">
        <v>46318</v>
      </c>
      <c r="C193" t="s">
        <v>11</v>
      </c>
      <c r="D193" t="s">
        <v>20</v>
      </c>
      <c r="E193" t="s">
        <v>55</v>
      </c>
      <c r="F193" t="str">
        <f>_xlfn.XLOOKUP(E193,Products!$A:$A,Products!$B:$B,"?")</f>
        <v>Gadget</v>
      </c>
      <c r="G193" t="str">
        <f>_xlfn.XLOOKUP(E193,Products!$A:$A,Products!$C:$C,"?")</f>
        <v>Hardware</v>
      </c>
      <c r="H193">
        <v>57</v>
      </c>
      <c r="I193" s="12">
        <f>H193*_xlfn.XLOOKUP(E193,Products!$A:$A,Products!$D:$D,0)</f>
        <v>5073</v>
      </c>
      <c r="J193" s="12">
        <f>H193*_xlfn.XLOOKUP(E193,Products!$A:$A,Products!$E:$E,0)</f>
        <v>2679</v>
      </c>
      <c r="K193" s="13">
        <f>IFERROR((I193-J193)/I193,0)</f>
        <v>0.47191011235955055</v>
      </c>
      <c r="L193" t="s">
        <v>50</v>
      </c>
    </row>
    <row r="194" spans="1:12" x14ac:dyDescent="0.25">
      <c r="A194" t="s">
        <v>241</v>
      </c>
      <c r="B194" s="11">
        <v>46308</v>
      </c>
      <c r="C194" t="s">
        <v>11</v>
      </c>
      <c r="D194" t="s">
        <v>19</v>
      </c>
      <c r="E194" t="s">
        <v>49</v>
      </c>
      <c r="F194" t="str">
        <f>_xlfn.XLOOKUP(E194,Products!$A:$A,Products!$B:$B,"?")</f>
        <v>Widget</v>
      </c>
      <c r="G194" t="str">
        <f>_xlfn.XLOOKUP(E194,Products!$A:$A,Products!$C:$C,"?")</f>
        <v>Hardware</v>
      </c>
      <c r="H194">
        <v>70</v>
      </c>
      <c r="I194" s="12">
        <f>H194*_xlfn.XLOOKUP(E194,Products!$A:$A,Products!$D:$D,0)</f>
        <v>1680</v>
      </c>
      <c r="J194" s="12">
        <f>H194*_xlfn.XLOOKUP(E194,Products!$A:$A,Products!$E:$E,0)</f>
        <v>770</v>
      </c>
      <c r="K194" s="13">
        <f>IFERROR((I194-J194)/I194,0)</f>
        <v>0.5416666666666666</v>
      </c>
      <c r="L194" t="s">
        <v>6</v>
      </c>
    </row>
    <row r="195" spans="1:12" x14ac:dyDescent="0.25">
      <c r="A195" t="s">
        <v>242</v>
      </c>
      <c r="B195" s="11">
        <v>46322</v>
      </c>
      <c r="C195" t="s">
        <v>10</v>
      </c>
      <c r="D195" t="s">
        <v>21</v>
      </c>
      <c r="E195" t="s">
        <v>52</v>
      </c>
      <c r="F195" t="str">
        <f>_xlfn.XLOOKUP(E195,Products!$A:$A,Products!$B:$B,"?")</f>
        <v>Setup</v>
      </c>
      <c r="G195" t="str">
        <f>_xlfn.XLOOKUP(E195,Products!$A:$A,Products!$C:$C,"?")</f>
        <v>Services</v>
      </c>
      <c r="H195">
        <v>2</v>
      </c>
      <c r="I195" s="12">
        <f>H195*_xlfn.XLOOKUP(E195,Products!$A:$A,Products!$D:$D,0)</f>
        <v>900</v>
      </c>
      <c r="J195" s="12">
        <f>H195*_xlfn.XLOOKUP(E195,Products!$A:$A,Products!$E:$E,0)</f>
        <v>520</v>
      </c>
      <c r="K195" s="13">
        <f>IFERROR((I195-J195)/I195,0)</f>
        <v>0.4222222222222222</v>
      </c>
      <c r="L195" t="s">
        <v>6</v>
      </c>
    </row>
    <row r="196" spans="1:12" x14ac:dyDescent="0.25">
      <c r="A196" t="s">
        <v>243</v>
      </c>
      <c r="B196" s="11">
        <v>46301</v>
      </c>
      <c r="C196" t="s">
        <v>11</v>
      </c>
      <c r="D196" t="s">
        <v>19</v>
      </c>
      <c r="E196" t="s">
        <v>66</v>
      </c>
      <c r="F196" t="str">
        <f>_xlfn.XLOOKUP(E196,Products!$A:$A,Products!$B:$B,"?")</f>
        <v>Cloud Seat Plus</v>
      </c>
      <c r="G196" t="str">
        <f>_xlfn.XLOOKUP(E196,Products!$A:$A,Products!$C:$C,"?")</f>
        <v>Software</v>
      </c>
      <c r="H196">
        <v>61</v>
      </c>
      <c r="I196" s="12">
        <f>H196*_xlfn.XLOOKUP(E196,Products!$A:$A,Products!$D:$D,0)</f>
        <v>3355</v>
      </c>
      <c r="J196" s="12">
        <f>H196*_xlfn.XLOOKUP(E196,Products!$A:$A,Products!$E:$E,0)</f>
        <v>427</v>
      </c>
      <c r="K196" s="13">
        <f>IFERROR((I196-J196)/I196,0)</f>
        <v>0.8727272727272727</v>
      </c>
      <c r="L196" t="s">
        <v>50</v>
      </c>
    </row>
    <row r="197" spans="1:12" x14ac:dyDescent="0.25">
      <c r="A197" t="s">
        <v>244</v>
      </c>
      <c r="B197" s="11">
        <v>46310</v>
      </c>
      <c r="C197" t="s">
        <v>8</v>
      </c>
      <c r="D197" t="s">
        <v>23</v>
      </c>
      <c r="E197" t="s">
        <v>78</v>
      </c>
      <c r="F197" t="str">
        <f>_xlfn.XLOOKUP(E197,Products!$A:$A,Products!$B:$B,"?")</f>
        <v>Cloud Seat</v>
      </c>
      <c r="G197" t="str">
        <f>_xlfn.XLOOKUP(E197,Products!$A:$A,Products!$C:$C,"?")</f>
        <v>Software</v>
      </c>
      <c r="H197">
        <v>10</v>
      </c>
      <c r="I197" s="12">
        <f>H197*_xlfn.XLOOKUP(E197,Products!$A:$A,Products!$D:$D,0)</f>
        <v>300</v>
      </c>
      <c r="J197" s="12">
        <f>H197*_xlfn.XLOOKUP(E197,Products!$A:$A,Products!$E:$E,0)</f>
        <v>40</v>
      </c>
      <c r="K197" s="13">
        <f>IFERROR((I197-J197)/I197,0)</f>
        <v>0.8666666666666667</v>
      </c>
      <c r="L197" t="s">
        <v>50</v>
      </c>
    </row>
    <row r="198" spans="1:12" x14ac:dyDescent="0.25">
      <c r="A198" t="s">
        <v>245</v>
      </c>
      <c r="B198" s="11">
        <v>46308</v>
      </c>
      <c r="C198" t="s">
        <v>8</v>
      </c>
      <c r="D198" t="s">
        <v>48</v>
      </c>
      <c r="E198" t="s">
        <v>57</v>
      </c>
      <c r="F198" t="str">
        <f>_xlfn.XLOOKUP(E198,Products!$A:$A,Products!$B:$B,"?")</f>
        <v>Training day</v>
      </c>
      <c r="G198" t="str">
        <f>_xlfn.XLOOKUP(E198,Products!$A:$A,Products!$C:$C,"?")</f>
        <v>Services</v>
      </c>
      <c r="H198">
        <v>1</v>
      </c>
      <c r="I198" s="12">
        <f>H198*_xlfn.XLOOKUP(E198,Products!$A:$A,Products!$D:$D,0)</f>
        <v>1200</v>
      </c>
      <c r="J198" s="12">
        <f>H198*_xlfn.XLOOKUP(E198,Products!$A:$A,Products!$E:$E,0)</f>
        <v>640</v>
      </c>
      <c r="K198" s="13">
        <f>IFERROR((I198-J198)/I198,0)</f>
        <v>0.4666666666666667</v>
      </c>
      <c r="L198" t="s">
        <v>58</v>
      </c>
    </row>
    <row r="199" spans="1:12" x14ac:dyDescent="0.25">
      <c r="A199" t="s">
        <v>33</v>
      </c>
      <c r="B199" s="11">
        <v>46311</v>
      </c>
      <c r="C199" t="s">
        <v>10</v>
      </c>
      <c r="D199" t="s">
        <v>21</v>
      </c>
      <c r="E199" t="s">
        <v>55</v>
      </c>
      <c r="F199" t="str">
        <f>_xlfn.XLOOKUP(E199,Products!$A:$A,Products!$B:$B,"?")</f>
        <v>Gadget</v>
      </c>
      <c r="G199" t="str">
        <f>_xlfn.XLOOKUP(E199,Products!$A:$A,Products!$C:$C,"?")</f>
        <v>Hardware</v>
      </c>
      <c r="H199">
        <v>39</v>
      </c>
      <c r="I199" s="12">
        <f>H199*_xlfn.XLOOKUP(E199,Products!$A:$A,Products!$D:$D,0)</f>
        <v>3471</v>
      </c>
      <c r="J199" s="12">
        <f>H199*_xlfn.XLOOKUP(E199,Products!$A:$A,Products!$E:$E,0)</f>
        <v>1833</v>
      </c>
      <c r="K199" s="13">
        <f>IFERROR((I199-J199)/I199,0)</f>
        <v>0.47191011235955055</v>
      </c>
      <c r="L199" t="s">
        <v>58</v>
      </c>
    </row>
    <row r="200" spans="1:12" x14ac:dyDescent="0.25">
      <c r="A200" t="s">
        <v>246</v>
      </c>
      <c r="B200" s="11">
        <v>46316</v>
      </c>
      <c r="C200" t="s">
        <v>9</v>
      </c>
      <c r="D200" t="s">
        <v>17</v>
      </c>
      <c r="E200" t="s">
        <v>52</v>
      </c>
      <c r="F200" t="str">
        <f>_xlfn.XLOOKUP(E200,Products!$A:$A,Products!$B:$B,"?")</f>
        <v>Setup</v>
      </c>
      <c r="G200" t="str">
        <f>_xlfn.XLOOKUP(E200,Products!$A:$A,Products!$C:$C,"?")</f>
        <v>Services</v>
      </c>
      <c r="H200">
        <v>1</v>
      </c>
      <c r="I200" s="12">
        <f>H200*_xlfn.XLOOKUP(E200,Products!$A:$A,Products!$D:$D,0)</f>
        <v>450</v>
      </c>
      <c r="J200" s="12">
        <f>H200*_xlfn.XLOOKUP(E200,Products!$A:$A,Products!$E:$E,0)</f>
        <v>260</v>
      </c>
      <c r="K200" s="13">
        <f>IFERROR((I200-J200)/I200,0)</f>
        <v>0.4222222222222222</v>
      </c>
      <c r="L200" t="s">
        <v>58</v>
      </c>
    </row>
    <row r="201" spans="1:12" x14ac:dyDescent="0.25">
      <c r="A201" t="s">
        <v>247</v>
      </c>
      <c r="B201" s="11">
        <v>46311</v>
      </c>
      <c r="C201" t="s">
        <v>8</v>
      </c>
      <c r="D201" t="s">
        <v>48</v>
      </c>
      <c r="E201" t="s">
        <v>78</v>
      </c>
      <c r="F201" t="str">
        <f>_xlfn.XLOOKUP(E201,Products!$A:$A,Products!$B:$B,"?")</f>
        <v>Cloud Seat</v>
      </c>
      <c r="G201" t="str">
        <f>_xlfn.XLOOKUP(E201,Products!$A:$A,Products!$C:$C,"?")</f>
        <v>Software</v>
      </c>
      <c r="H201">
        <v>63</v>
      </c>
      <c r="I201" s="12">
        <f>H201*_xlfn.XLOOKUP(E201,Products!$A:$A,Products!$D:$D,0)</f>
        <v>1890</v>
      </c>
      <c r="J201" s="12">
        <f>H201*_xlfn.XLOOKUP(E201,Products!$A:$A,Products!$E:$E,0)</f>
        <v>252</v>
      </c>
      <c r="K201" s="13">
        <f>IFERROR((I201-J201)/I201,0)</f>
        <v>0.8666666666666667</v>
      </c>
      <c r="L201" t="s">
        <v>50</v>
      </c>
    </row>
    <row r="202" spans="1:12" x14ac:dyDescent="0.25">
      <c r="A202" t="s">
        <v>248</v>
      </c>
      <c r="B202" s="11">
        <v>46336</v>
      </c>
      <c r="C202" t="s">
        <v>8</v>
      </c>
      <c r="D202" t="s">
        <v>23</v>
      </c>
      <c r="E202" t="s">
        <v>49</v>
      </c>
      <c r="F202" t="str">
        <f>_xlfn.XLOOKUP(E202,Products!$A:$A,Products!$B:$B,"?")</f>
        <v>Widget</v>
      </c>
      <c r="G202" t="str">
        <f>_xlfn.XLOOKUP(E202,Products!$A:$A,Products!$C:$C,"?")</f>
        <v>Hardware</v>
      </c>
      <c r="H202">
        <v>58</v>
      </c>
      <c r="I202" s="12">
        <f>H202*_xlfn.XLOOKUP(E202,Products!$A:$A,Products!$D:$D,0)</f>
        <v>1392</v>
      </c>
      <c r="J202" s="12">
        <f>H202*_xlfn.XLOOKUP(E202,Products!$A:$A,Products!$E:$E,0)</f>
        <v>638</v>
      </c>
      <c r="K202" s="13">
        <f>IFERROR((I202-J202)/I202,0)</f>
        <v>0.5416666666666666</v>
      </c>
      <c r="L202" t="s">
        <v>50</v>
      </c>
    </row>
    <row r="203" spans="1:12" x14ac:dyDescent="0.25">
      <c r="A203" t="s">
        <v>249</v>
      </c>
      <c r="B203" s="11">
        <v>46340</v>
      </c>
      <c r="C203" t="s">
        <v>10</v>
      </c>
      <c r="D203" t="s">
        <v>21</v>
      </c>
      <c r="E203" t="s">
        <v>55</v>
      </c>
      <c r="F203" t="str">
        <f>_xlfn.XLOOKUP(E203,Products!$A:$A,Products!$B:$B,"?")</f>
        <v>Gadget</v>
      </c>
      <c r="G203" t="str">
        <f>_xlfn.XLOOKUP(E203,Products!$A:$A,Products!$C:$C,"?")</f>
        <v>Hardware</v>
      </c>
      <c r="H203">
        <v>25</v>
      </c>
      <c r="I203" s="12">
        <f>H203*_xlfn.XLOOKUP(E203,Products!$A:$A,Products!$D:$D,0)</f>
        <v>2225</v>
      </c>
      <c r="J203" s="12">
        <f>H203*_xlfn.XLOOKUP(E203,Products!$A:$A,Products!$E:$E,0)</f>
        <v>1175</v>
      </c>
      <c r="K203" s="13">
        <f>IFERROR((I203-J203)/I203,0)</f>
        <v>0.47191011235955055</v>
      </c>
      <c r="L203" t="s">
        <v>50</v>
      </c>
    </row>
    <row r="204" spans="1:12" x14ac:dyDescent="0.25">
      <c r="A204" t="s">
        <v>250</v>
      </c>
      <c r="B204" s="11">
        <v>46343</v>
      </c>
      <c r="C204" t="s">
        <v>8</v>
      </c>
      <c r="D204" t="s">
        <v>48</v>
      </c>
      <c r="E204" t="s">
        <v>78</v>
      </c>
      <c r="F204" t="str">
        <f>_xlfn.XLOOKUP(E204,Products!$A:$A,Products!$B:$B,"?")</f>
        <v>Cloud Seat</v>
      </c>
      <c r="G204" t="str">
        <f>_xlfn.XLOOKUP(E204,Products!$A:$A,Products!$C:$C,"?")</f>
        <v>Software</v>
      </c>
      <c r="H204">
        <v>12</v>
      </c>
      <c r="I204" s="12">
        <f>H204*_xlfn.XLOOKUP(E204,Products!$A:$A,Products!$D:$D,0)</f>
        <v>360</v>
      </c>
      <c r="J204" s="12">
        <f>H204*_xlfn.XLOOKUP(E204,Products!$A:$A,Products!$E:$E,0)</f>
        <v>48</v>
      </c>
      <c r="K204" s="13">
        <f>IFERROR((I204-J204)/I204,0)</f>
        <v>0.8666666666666667</v>
      </c>
      <c r="L204" t="s">
        <v>58</v>
      </c>
    </row>
    <row r="205" spans="1:12" x14ac:dyDescent="0.25">
      <c r="A205" t="s">
        <v>251</v>
      </c>
      <c r="B205" s="11">
        <v>46349</v>
      </c>
      <c r="C205" t="s">
        <v>8</v>
      </c>
      <c r="D205" t="s">
        <v>48</v>
      </c>
      <c r="E205" t="s">
        <v>57</v>
      </c>
      <c r="F205" t="str">
        <f>_xlfn.XLOOKUP(E205,Products!$A:$A,Products!$B:$B,"?")</f>
        <v>Training day</v>
      </c>
      <c r="G205" t="str">
        <f>_xlfn.XLOOKUP(E205,Products!$A:$A,Products!$C:$C,"?")</f>
        <v>Services</v>
      </c>
      <c r="H205">
        <v>1</v>
      </c>
      <c r="I205" s="12">
        <f>H205*_xlfn.XLOOKUP(E205,Products!$A:$A,Products!$D:$D,0)</f>
        <v>1200</v>
      </c>
      <c r="J205" s="12">
        <f>H205*_xlfn.XLOOKUP(E205,Products!$A:$A,Products!$E:$E,0)</f>
        <v>640</v>
      </c>
      <c r="K205" s="13">
        <f>IFERROR((I205-J205)/I205,0)</f>
        <v>0.4666666666666667</v>
      </c>
      <c r="L205" t="s">
        <v>50</v>
      </c>
    </row>
    <row r="206" spans="1:12" x14ac:dyDescent="0.25">
      <c r="A206" t="s">
        <v>252</v>
      </c>
      <c r="B206" s="11">
        <v>46349</v>
      </c>
      <c r="C206" t="s">
        <v>11</v>
      </c>
      <c r="D206" t="s">
        <v>20</v>
      </c>
      <c r="E206" t="s">
        <v>68</v>
      </c>
      <c r="F206" t="str">
        <f>_xlfn.XLOOKUP(E206,Products!$A:$A,Products!$B:$B,"?")</f>
        <v>Widget Pro</v>
      </c>
      <c r="G206" t="str">
        <f>_xlfn.XLOOKUP(E206,Products!$A:$A,Products!$C:$C,"?")</f>
        <v>Hardware</v>
      </c>
      <c r="H206">
        <v>52</v>
      </c>
      <c r="I206" s="12">
        <f>H206*_xlfn.XLOOKUP(E206,Products!$A:$A,Products!$D:$D,0)</f>
        <v>2548</v>
      </c>
      <c r="J206" s="12">
        <f>H206*_xlfn.XLOOKUP(E206,Products!$A:$A,Products!$E:$E,0)</f>
        <v>1144</v>
      </c>
      <c r="K206" s="13">
        <f>IFERROR((I206-J206)/I206,0)</f>
        <v>0.5510204081632653</v>
      </c>
      <c r="L206" t="s">
        <v>50</v>
      </c>
    </row>
    <row r="207" spans="1:12" x14ac:dyDescent="0.25">
      <c r="A207" t="s">
        <v>34</v>
      </c>
      <c r="B207" s="11">
        <v>46342</v>
      </c>
      <c r="C207" t="s">
        <v>11</v>
      </c>
      <c r="D207" t="s">
        <v>20</v>
      </c>
      <c r="E207" t="s">
        <v>57</v>
      </c>
      <c r="F207" t="str">
        <f>_xlfn.XLOOKUP(E207,Products!$A:$A,Products!$B:$B,"?")</f>
        <v>Training day</v>
      </c>
      <c r="G207" t="str">
        <f>_xlfn.XLOOKUP(E207,Products!$A:$A,Products!$C:$C,"?")</f>
        <v>Services</v>
      </c>
      <c r="H207">
        <v>3</v>
      </c>
      <c r="I207" s="12">
        <f>H207*_xlfn.XLOOKUP(E207,Products!$A:$A,Products!$D:$D,0)</f>
        <v>3600</v>
      </c>
      <c r="J207" s="12">
        <f>H207*_xlfn.XLOOKUP(E207,Products!$A:$A,Products!$E:$E,0)</f>
        <v>1920</v>
      </c>
      <c r="K207" s="13">
        <f>IFERROR((I207-J207)/I207,0)</f>
        <v>0.4666666666666667</v>
      </c>
      <c r="L207" t="s">
        <v>58</v>
      </c>
    </row>
    <row r="208" spans="1:12" x14ac:dyDescent="0.25">
      <c r="A208" t="s">
        <v>253</v>
      </c>
      <c r="B208" s="11">
        <v>46335</v>
      </c>
      <c r="C208" t="s">
        <v>8</v>
      </c>
      <c r="D208" t="s">
        <v>48</v>
      </c>
      <c r="E208" t="s">
        <v>66</v>
      </c>
      <c r="F208" t="str">
        <f>_xlfn.XLOOKUP(E208,Products!$A:$A,Products!$B:$B,"?")</f>
        <v>Cloud Seat Plus</v>
      </c>
      <c r="G208" t="str">
        <f>_xlfn.XLOOKUP(E208,Products!$A:$A,Products!$C:$C,"?")</f>
        <v>Software</v>
      </c>
      <c r="H208">
        <v>39</v>
      </c>
      <c r="I208" s="12">
        <f>H208*_xlfn.XLOOKUP(E208,Products!$A:$A,Products!$D:$D,0)</f>
        <v>2145</v>
      </c>
      <c r="J208" s="12">
        <f>H208*_xlfn.XLOOKUP(E208,Products!$A:$A,Products!$E:$E,0)</f>
        <v>273</v>
      </c>
      <c r="K208" s="13">
        <f>IFERROR((I208-J208)/I208,0)</f>
        <v>0.8727272727272727</v>
      </c>
      <c r="L208" t="s">
        <v>50</v>
      </c>
    </row>
    <row r="209" spans="1:12" x14ac:dyDescent="0.25">
      <c r="A209" t="s">
        <v>254</v>
      </c>
      <c r="B209" s="11">
        <v>46346</v>
      </c>
      <c r="C209" t="s">
        <v>8</v>
      </c>
      <c r="D209" t="s">
        <v>23</v>
      </c>
      <c r="E209" t="s">
        <v>49</v>
      </c>
      <c r="F209" t="str">
        <f>_xlfn.XLOOKUP(E209,Products!$A:$A,Products!$B:$B,"?")</f>
        <v>Widget</v>
      </c>
      <c r="G209" t="str">
        <f>_xlfn.XLOOKUP(E209,Products!$A:$A,Products!$C:$C,"?")</f>
        <v>Hardware</v>
      </c>
      <c r="H209">
        <v>33</v>
      </c>
      <c r="I209" s="12">
        <f>H209*_xlfn.XLOOKUP(E209,Products!$A:$A,Products!$D:$D,0)</f>
        <v>792</v>
      </c>
      <c r="J209" s="12">
        <f>H209*_xlfn.XLOOKUP(E209,Products!$A:$A,Products!$E:$E,0)</f>
        <v>363</v>
      </c>
      <c r="K209" s="13">
        <f>IFERROR((I209-J209)/I209,0)</f>
        <v>0.5416666666666666</v>
      </c>
      <c r="L209" t="s">
        <v>50</v>
      </c>
    </row>
    <row r="210" spans="1:12" x14ac:dyDescent="0.25">
      <c r="A210" t="s">
        <v>255</v>
      </c>
      <c r="B210" s="11">
        <v>46348</v>
      </c>
      <c r="C210" t="s">
        <v>8</v>
      </c>
      <c r="D210" t="s">
        <v>23</v>
      </c>
      <c r="E210" t="s">
        <v>49</v>
      </c>
      <c r="F210" t="str">
        <f>_xlfn.XLOOKUP(E210,Products!$A:$A,Products!$B:$B,"?")</f>
        <v>Widget</v>
      </c>
      <c r="G210" t="str">
        <f>_xlfn.XLOOKUP(E210,Products!$A:$A,Products!$C:$C,"?")</f>
        <v>Hardware</v>
      </c>
      <c r="H210">
        <v>78</v>
      </c>
      <c r="I210" s="12">
        <f>H210*_xlfn.XLOOKUP(E210,Products!$A:$A,Products!$D:$D,0)</f>
        <v>1872</v>
      </c>
      <c r="J210" s="12">
        <f>H210*_xlfn.XLOOKUP(E210,Products!$A:$A,Products!$E:$E,0)</f>
        <v>858</v>
      </c>
      <c r="K210" s="13">
        <f>IFERROR((I210-J210)/I210,0)</f>
        <v>0.5416666666666666</v>
      </c>
      <c r="L210" t="s">
        <v>50</v>
      </c>
    </row>
    <row r="211" spans="1:12" x14ac:dyDescent="0.25">
      <c r="A211" t="s">
        <v>256</v>
      </c>
      <c r="B211" s="11">
        <v>46347</v>
      </c>
      <c r="C211" t="s">
        <v>8</v>
      </c>
      <c r="D211" t="s">
        <v>23</v>
      </c>
      <c r="E211" t="s">
        <v>52</v>
      </c>
      <c r="F211" t="str">
        <f>_xlfn.XLOOKUP(E211,Products!$A:$A,Products!$B:$B,"?")</f>
        <v>Setup</v>
      </c>
      <c r="G211" t="str">
        <f>_xlfn.XLOOKUP(E211,Products!$A:$A,Products!$C:$C,"?")</f>
        <v>Services</v>
      </c>
      <c r="H211">
        <v>2</v>
      </c>
      <c r="I211" s="12">
        <f>H211*_xlfn.XLOOKUP(E211,Products!$A:$A,Products!$D:$D,0)</f>
        <v>900</v>
      </c>
      <c r="J211" s="12">
        <f>H211*_xlfn.XLOOKUP(E211,Products!$A:$A,Products!$E:$E,0)</f>
        <v>520</v>
      </c>
      <c r="K211" s="13">
        <f>IFERROR((I211-J211)/I211,0)</f>
        <v>0.4222222222222222</v>
      </c>
      <c r="L211" t="s">
        <v>50</v>
      </c>
    </row>
    <row r="212" spans="1:12" x14ac:dyDescent="0.25">
      <c r="A212" t="s">
        <v>257</v>
      </c>
      <c r="B212" s="11">
        <v>46343</v>
      </c>
      <c r="C212" t="s">
        <v>8</v>
      </c>
      <c r="D212" t="s">
        <v>48</v>
      </c>
      <c r="E212" t="s">
        <v>49</v>
      </c>
      <c r="F212" t="str">
        <f>_xlfn.XLOOKUP(E212,Products!$A:$A,Products!$B:$B,"?")</f>
        <v>Widget</v>
      </c>
      <c r="G212" t="str">
        <f>_xlfn.XLOOKUP(E212,Products!$A:$A,Products!$C:$C,"?")</f>
        <v>Hardware</v>
      </c>
      <c r="H212">
        <v>17</v>
      </c>
      <c r="I212" s="12">
        <f>H212*_xlfn.XLOOKUP(E212,Products!$A:$A,Products!$D:$D,0)</f>
        <v>408</v>
      </c>
      <c r="J212" s="12">
        <f>H212*_xlfn.XLOOKUP(E212,Products!$A:$A,Products!$E:$E,0)</f>
        <v>187</v>
      </c>
      <c r="K212" s="13">
        <f>IFERROR((I212-J212)/I212,0)</f>
        <v>0.5416666666666666</v>
      </c>
      <c r="L212" t="s">
        <v>50</v>
      </c>
    </row>
    <row r="213" spans="1:12" x14ac:dyDescent="0.25">
      <c r="A213" t="s">
        <v>258</v>
      </c>
      <c r="B213" s="11">
        <v>46334</v>
      </c>
      <c r="C213" t="s">
        <v>8</v>
      </c>
      <c r="D213" t="s">
        <v>48</v>
      </c>
      <c r="E213" t="s">
        <v>52</v>
      </c>
      <c r="F213" t="str">
        <f>_xlfn.XLOOKUP(E213,Products!$A:$A,Products!$B:$B,"?")</f>
        <v>Setup</v>
      </c>
      <c r="G213" t="str">
        <f>_xlfn.XLOOKUP(E213,Products!$A:$A,Products!$C:$C,"?")</f>
        <v>Services</v>
      </c>
      <c r="H213">
        <v>1</v>
      </c>
      <c r="I213" s="12">
        <f>H213*_xlfn.XLOOKUP(E213,Products!$A:$A,Products!$D:$D,0)</f>
        <v>450</v>
      </c>
      <c r="J213" s="12">
        <f>H213*_xlfn.XLOOKUP(E213,Products!$A:$A,Products!$E:$E,0)</f>
        <v>260</v>
      </c>
      <c r="K213" s="13">
        <f>IFERROR((I213-J213)/I213,0)</f>
        <v>0.4222222222222222</v>
      </c>
      <c r="L213" t="s">
        <v>50</v>
      </c>
    </row>
    <row r="214" spans="1:12" x14ac:dyDescent="0.25">
      <c r="A214" t="s">
        <v>259</v>
      </c>
      <c r="B214" s="11">
        <v>46353</v>
      </c>
      <c r="C214" t="s">
        <v>10</v>
      </c>
      <c r="D214" t="s">
        <v>21</v>
      </c>
      <c r="E214" t="s">
        <v>57</v>
      </c>
      <c r="F214" t="str">
        <f>_xlfn.XLOOKUP(E214,Products!$A:$A,Products!$B:$B,"?")</f>
        <v>Training day</v>
      </c>
      <c r="G214" t="str">
        <f>_xlfn.XLOOKUP(E214,Products!$A:$A,Products!$C:$C,"?")</f>
        <v>Services</v>
      </c>
      <c r="H214">
        <v>2</v>
      </c>
      <c r="I214" s="12">
        <f>H214*_xlfn.XLOOKUP(E214,Products!$A:$A,Products!$D:$D,0)</f>
        <v>2400</v>
      </c>
      <c r="J214" s="12">
        <f>H214*_xlfn.XLOOKUP(E214,Products!$A:$A,Products!$E:$E,0)</f>
        <v>1280</v>
      </c>
      <c r="K214" s="13">
        <f>IFERROR((I214-J214)/I214,0)</f>
        <v>0.4666666666666667</v>
      </c>
      <c r="L214" t="s">
        <v>50</v>
      </c>
    </row>
    <row r="215" spans="1:12" x14ac:dyDescent="0.25">
      <c r="A215" t="s">
        <v>260</v>
      </c>
      <c r="B215" s="11">
        <v>46343</v>
      </c>
      <c r="C215" t="s">
        <v>9</v>
      </c>
      <c r="D215" t="s">
        <v>17</v>
      </c>
      <c r="E215" t="s">
        <v>66</v>
      </c>
      <c r="F215" t="str">
        <f>_xlfn.XLOOKUP(E215,Products!$A:$A,Products!$B:$B,"?")</f>
        <v>Cloud Seat Plus</v>
      </c>
      <c r="G215" t="str">
        <f>_xlfn.XLOOKUP(E215,Products!$A:$A,Products!$C:$C,"?")</f>
        <v>Software</v>
      </c>
      <c r="H215">
        <v>11</v>
      </c>
      <c r="I215" s="12">
        <f>H215*_xlfn.XLOOKUP(E215,Products!$A:$A,Products!$D:$D,0)</f>
        <v>605</v>
      </c>
      <c r="J215" s="12">
        <f>H215*_xlfn.XLOOKUP(E215,Products!$A:$A,Products!$E:$E,0)</f>
        <v>77</v>
      </c>
      <c r="K215" s="13">
        <f>IFERROR((I215-J215)/I215,0)</f>
        <v>0.8727272727272727</v>
      </c>
      <c r="L215" t="s">
        <v>6</v>
      </c>
    </row>
    <row r="216" spans="1:12" x14ac:dyDescent="0.25">
      <c r="A216" t="s">
        <v>261</v>
      </c>
      <c r="B216" s="11">
        <v>46331</v>
      </c>
      <c r="C216" t="s">
        <v>8</v>
      </c>
      <c r="D216" t="s">
        <v>48</v>
      </c>
      <c r="E216" t="s">
        <v>68</v>
      </c>
      <c r="F216" t="str">
        <f>_xlfn.XLOOKUP(E216,Products!$A:$A,Products!$B:$B,"?")</f>
        <v>Widget Pro</v>
      </c>
      <c r="G216" t="str">
        <f>_xlfn.XLOOKUP(E216,Products!$A:$A,Products!$C:$C,"?")</f>
        <v>Hardware</v>
      </c>
      <c r="H216">
        <v>24</v>
      </c>
      <c r="I216" s="12">
        <f>H216*_xlfn.XLOOKUP(E216,Products!$A:$A,Products!$D:$D,0)</f>
        <v>1176</v>
      </c>
      <c r="J216" s="12">
        <f>H216*_xlfn.XLOOKUP(E216,Products!$A:$A,Products!$E:$E,0)</f>
        <v>528</v>
      </c>
      <c r="K216" s="13">
        <f>IFERROR((I216-J216)/I216,0)</f>
        <v>0.5510204081632653</v>
      </c>
      <c r="L216" t="s">
        <v>50</v>
      </c>
    </row>
    <row r="217" spans="1:12" x14ac:dyDescent="0.25">
      <c r="A217" t="s">
        <v>262</v>
      </c>
      <c r="B217" s="11">
        <v>46327</v>
      </c>
      <c r="C217" t="s">
        <v>11</v>
      </c>
      <c r="D217" t="s">
        <v>20</v>
      </c>
      <c r="E217" t="s">
        <v>68</v>
      </c>
      <c r="F217" t="str">
        <f>_xlfn.XLOOKUP(E217,Products!$A:$A,Products!$B:$B,"?")</f>
        <v>Widget Pro</v>
      </c>
      <c r="G217" t="str">
        <f>_xlfn.XLOOKUP(E217,Products!$A:$A,Products!$C:$C,"?")</f>
        <v>Hardware</v>
      </c>
      <c r="H217">
        <v>58</v>
      </c>
      <c r="I217" s="12">
        <f>H217*_xlfn.XLOOKUP(E217,Products!$A:$A,Products!$D:$D,0)</f>
        <v>2842</v>
      </c>
      <c r="J217" s="12">
        <f>H217*_xlfn.XLOOKUP(E217,Products!$A:$A,Products!$E:$E,0)</f>
        <v>1276</v>
      </c>
      <c r="K217" s="13">
        <f>IFERROR((I217-J217)/I217,0)</f>
        <v>0.5510204081632653</v>
      </c>
      <c r="L217" t="s">
        <v>58</v>
      </c>
    </row>
    <row r="218" spans="1:12" x14ac:dyDescent="0.25">
      <c r="A218" t="s">
        <v>263</v>
      </c>
      <c r="B218" s="11">
        <v>46353</v>
      </c>
      <c r="C218" t="s">
        <v>10</v>
      </c>
      <c r="D218" t="s">
        <v>21</v>
      </c>
      <c r="E218" t="s">
        <v>57</v>
      </c>
      <c r="F218" t="str">
        <f>_xlfn.XLOOKUP(E218,Products!$A:$A,Products!$B:$B,"?")</f>
        <v>Training day</v>
      </c>
      <c r="G218" t="str">
        <f>_xlfn.XLOOKUP(E218,Products!$A:$A,Products!$C:$C,"?")</f>
        <v>Services</v>
      </c>
      <c r="H218">
        <v>3</v>
      </c>
      <c r="I218" s="12">
        <f>H218*_xlfn.XLOOKUP(E218,Products!$A:$A,Products!$D:$D,0)</f>
        <v>3600</v>
      </c>
      <c r="J218" s="12">
        <f>H218*_xlfn.XLOOKUP(E218,Products!$A:$A,Products!$E:$E,0)</f>
        <v>1920</v>
      </c>
      <c r="K218" s="13">
        <f>IFERROR((I218-J218)/I218,0)</f>
        <v>0.4666666666666667</v>
      </c>
      <c r="L218" t="s">
        <v>50</v>
      </c>
    </row>
    <row r="219" spans="1:12" x14ac:dyDescent="0.25">
      <c r="A219" t="s">
        <v>264</v>
      </c>
      <c r="B219" s="11">
        <v>46341</v>
      </c>
      <c r="C219" t="s">
        <v>11</v>
      </c>
      <c r="D219" t="s">
        <v>19</v>
      </c>
      <c r="E219" t="s">
        <v>57</v>
      </c>
      <c r="F219" t="str">
        <f>_xlfn.XLOOKUP(E219,Products!$A:$A,Products!$B:$B,"?")</f>
        <v>Training day</v>
      </c>
      <c r="G219" t="str">
        <f>_xlfn.XLOOKUP(E219,Products!$A:$A,Products!$C:$C,"?")</f>
        <v>Services</v>
      </c>
      <c r="H219">
        <v>1</v>
      </c>
      <c r="I219" s="12">
        <f>H219*_xlfn.XLOOKUP(E219,Products!$A:$A,Products!$D:$D,0)</f>
        <v>1200</v>
      </c>
      <c r="J219" s="12">
        <f>H219*_xlfn.XLOOKUP(E219,Products!$A:$A,Products!$E:$E,0)</f>
        <v>640</v>
      </c>
      <c r="K219" s="13">
        <f>IFERROR((I219-J219)/I219,0)</f>
        <v>0.4666666666666667</v>
      </c>
      <c r="L219" t="s">
        <v>58</v>
      </c>
    </row>
    <row r="220" spans="1:12" x14ac:dyDescent="0.25">
      <c r="A220" t="s">
        <v>35</v>
      </c>
      <c r="B220" s="11">
        <v>46339</v>
      </c>
      <c r="C220" t="s">
        <v>11</v>
      </c>
      <c r="D220" t="s">
        <v>20</v>
      </c>
      <c r="E220" t="s">
        <v>68</v>
      </c>
      <c r="F220" t="str">
        <f>_xlfn.XLOOKUP(E220,Products!$A:$A,Products!$B:$B,"?")</f>
        <v>Widget Pro</v>
      </c>
      <c r="G220" t="str">
        <f>_xlfn.XLOOKUP(E220,Products!$A:$A,Products!$C:$C,"?")</f>
        <v>Hardware</v>
      </c>
      <c r="H220">
        <v>65</v>
      </c>
      <c r="I220" s="12">
        <f>H220*_xlfn.XLOOKUP(E220,Products!$A:$A,Products!$D:$D,0)</f>
        <v>3185</v>
      </c>
      <c r="J220" s="12">
        <f>H220*_xlfn.XLOOKUP(E220,Products!$A:$A,Products!$E:$E,0)</f>
        <v>1430</v>
      </c>
      <c r="K220" s="13">
        <f>IFERROR((I220-J220)/I220,0)</f>
        <v>0.5510204081632653</v>
      </c>
      <c r="L220" t="s">
        <v>58</v>
      </c>
    </row>
    <row r="221" spans="1:12" x14ac:dyDescent="0.25">
      <c r="A221" t="s">
        <v>265</v>
      </c>
      <c r="B221" s="11">
        <v>46353</v>
      </c>
      <c r="C221" t="s">
        <v>8</v>
      </c>
      <c r="D221" t="s">
        <v>48</v>
      </c>
      <c r="E221" t="s">
        <v>52</v>
      </c>
      <c r="F221" t="str">
        <f>_xlfn.XLOOKUP(E221,Products!$A:$A,Products!$B:$B,"?")</f>
        <v>Setup</v>
      </c>
      <c r="G221" t="str">
        <f>_xlfn.XLOOKUP(E221,Products!$A:$A,Products!$C:$C,"?")</f>
        <v>Services</v>
      </c>
      <c r="H221">
        <v>2</v>
      </c>
      <c r="I221" s="12">
        <f>H221*_xlfn.XLOOKUP(E221,Products!$A:$A,Products!$D:$D,0)</f>
        <v>900</v>
      </c>
      <c r="J221" s="12">
        <f>H221*_xlfn.XLOOKUP(E221,Products!$A:$A,Products!$E:$E,0)</f>
        <v>520</v>
      </c>
      <c r="K221" s="13">
        <f>IFERROR((I221-J221)/I221,0)</f>
        <v>0.4222222222222222</v>
      </c>
      <c r="L221" t="s">
        <v>58</v>
      </c>
    </row>
    <row r="222" spans="1:12" x14ac:dyDescent="0.25">
      <c r="A222" t="s">
        <v>266</v>
      </c>
      <c r="B222" s="11">
        <v>46372</v>
      </c>
      <c r="C222" t="s">
        <v>8</v>
      </c>
      <c r="D222" t="s">
        <v>48</v>
      </c>
      <c r="E222" t="s">
        <v>52</v>
      </c>
      <c r="F222" t="str">
        <f>_xlfn.XLOOKUP(E222,Products!$A:$A,Products!$B:$B,"?")</f>
        <v>Setup</v>
      </c>
      <c r="G222" t="str">
        <f>_xlfn.XLOOKUP(E222,Products!$A:$A,Products!$C:$C,"?")</f>
        <v>Services</v>
      </c>
      <c r="H222">
        <v>2</v>
      </c>
      <c r="I222" s="12">
        <f>H222*_xlfn.XLOOKUP(E222,Products!$A:$A,Products!$D:$D,0)</f>
        <v>900</v>
      </c>
      <c r="J222" s="12">
        <f>H222*_xlfn.XLOOKUP(E222,Products!$A:$A,Products!$E:$E,0)</f>
        <v>520</v>
      </c>
      <c r="K222" s="13">
        <f>IFERROR((I222-J222)/I222,0)</f>
        <v>0.4222222222222222</v>
      </c>
      <c r="L222" t="s">
        <v>58</v>
      </c>
    </row>
    <row r="223" spans="1:12" x14ac:dyDescent="0.25">
      <c r="A223" t="s">
        <v>36</v>
      </c>
      <c r="B223" s="11">
        <v>46377</v>
      </c>
      <c r="C223" t="s">
        <v>8</v>
      </c>
      <c r="D223" t="s">
        <v>48</v>
      </c>
      <c r="E223" t="s">
        <v>57</v>
      </c>
      <c r="F223" t="str">
        <f>_xlfn.XLOOKUP(E223,Products!$A:$A,Products!$B:$B,"?")</f>
        <v>Training day</v>
      </c>
      <c r="G223" t="str">
        <f>_xlfn.XLOOKUP(E223,Products!$A:$A,Products!$C:$C,"?")</f>
        <v>Services</v>
      </c>
      <c r="H223">
        <v>3</v>
      </c>
      <c r="I223" s="12">
        <f>H223*_xlfn.XLOOKUP(E223,Products!$A:$A,Products!$D:$D,0)</f>
        <v>3600</v>
      </c>
      <c r="J223" s="12">
        <f>H223*_xlfn.XLOOKUP(E223,Products!$A:$A,Products!$E:$E,0)</f>
        <v>1920</v>
      </c>
      <c r="K223" s="13">
        <f>IFERROR((I223-J223)/I223,0)</f>
        <v>0.4666666666666667</v>
      </c>
      <c r="L223" t="s">
        <v>58</v>
      </c>
    </row>
    <row r="224" spans="1:12" x14ac:dyDescent="0.25">
      <c r="A224" t="s">
        <v>267</v>
      </c>
      <c r="B224" s="11">
        <v>46370</v>
      </c>
      <c r="C224" t="s">
        <v>8</v>
      </c>
      <c r="D224" t="s">
        <v>23</v>
      </c>
      <c r="E224" t="s">
        <v>52</v>
      </c>
      <c r="F224" t="str">
        <f>_xlfn.XLOOKUP(E224,Products!$A:$A,Products!$B:$B,"?")</f>
        <v>Setup</v>
      </c>
      <c r="G224" t="str">
        <f>_xlfn.XLOOKUP(E224,Products!$A:$A,Products!$C:$C,"?")</f>
        <v>Services</v>
      </c>
      <c r="H224">
        <v>1</v>
      </c>
      <c r="I224" s="12">
        <f>H224*_xlfn.XLOOKUP(E224,Products!$A:$A,Products!$D:$D,0)</f>
        <v>450</v>
      </c>
      <c r="J224" s="12">
        <f>H224*_xlfn.XLOOKUP(E224,Products!$A:$A,Products!$E:$E,0)</f>
        <v>260</v>
      </c>
      <c r="K224" s="13">
        <f>IFERROR((I224-J224)/I224,0)</f>
        <v>0.4222222222222222</v>
      </c>
      <c r="L224" t="s">
        <v>50</v>
      </c>
    </row>
    <row r="225" spans="1:12" x14ac:dyDescent="0.25">
      <c r="A225" t="s">
        <v>268</v>
      </c>
      <c r="B225" s="11">
        <v>46365</v>
      </c>
      <c r="C225" t="s">
        <v>11</v>
      </c>
      <c r="D225" t="s">
        <v>20</v>
      </c>
      <c r="E225" t="s">
        <v>49</v>
      </c>
      <c r="F225" t="str">
        <f>_xlfn.XLOOKUP(E225,Products!$A:$A,Products!$B:$B,"?")</f>
        <v>Widget</v>
      </c>
      <c r="G225" t="str">
        <f>_xlfn.XLOOKUP(E225,Products!$A:$A,Products!$C:$C,"?")</f>
        <v>Hardware</v>
      </c>
      <c r="H225">
        <v>78</v>
      </c>
      <c r="I225" s="12">
        <f>H225*_xlfn.XLOOKUP(E225,Products!$A:$A,Products!$D:$D,0)</f>
        <v>1872</v>
      </c>
      <c r="J225" s="12">
        <f>H225*_xlfn.XLOOKUP(E225,Products!$A:$A,Products!$E:$E,0)</f>
        <v>858</v>
      </c>
      <c r="K225" s="13">
        <f>IFERROR((I225-J225)/I225,0)</f>
        <v>0.5416666666666666</v>
      </c>
      <c r="L225" t="s">
        <v>58</v>
      </c>
    </row>
    <row r="226" spans="1:12" x14ac:dyDescent="0.25">
      <c r="A226" t="s">
        <v>269</v>
      </c>
      <c r="B226" s="11">
        <v>46381</v>
      </c>
      <c r="C226" t="s">
        <v>9</v>
      </c>
      <c r="D226" t="s">
        <v>17</v>
      </c>
      <c r="E226" t="s">
        <v>55</v>
      </c>
      <c r="F226" t="str">
        <f>_xlfn.XLOOKUP(E226,Products!$A:$A,Products!$B:$B,"?")</f>
        <v>Gadget</v>
      </c>
      <c r="G226" t="str">
        <f>_xlfn.XLOOKUP(E226,Products!$A:$A,Products!$C:$C,"?")</f>
        <v>Hardware</v>
      </c>
      <c r="H226">
        <v>13</v>
      </c>
      <c r="I226" s="12">
        <f>H226*_xlfn.XLOOKUP(E226,Products!$A:$A,Products!$D:$D,0)</f>
        <v>1157</v>
      </c>
      <c r="J226" s="12">
        <f>H226*_xlfn.XLOOKUP(E226,Products!$A:$A,Products!$E:$E,0)</f>
        <v>611</v>
      </c>
      <c r="K226" s="13">
        <f>IFERROR((I226-J226)/I226,0)</f>
        <v>0.47191011235955055</v>
      </c>
      <c r="L226" t="s">
        <v>50</v>
      </c>
    </row>
    <row r="227" spans="1:12" x14ac:dyDescent="0.25">
      <c r="A227" t="s">
        <v>270</v>
      </c>
      <c r="B227" s="11">
        <v>46370</v>
      </c>
      <c r="C227" t="s">
        <v>9</v>
      </c>
      <c r="D227" t="s">
        <v>17</v>
      </c>
      <c r="E227" t="s">
        <v>68</v>
      </c>
      <c r="F227" t="str">
        <f>_xlfn.XLOOKUP(E227,Products!$A:$A,Products!$B:$B,"?")</f>
        <v>Widget Pro</v>
      </c>
      <c r="G227" t="str">
        <f>_xlfn.XLOOKUP(E227,Products!$A:$A,Products!$C:$C,"?")</f>
        <v>Hardware</v>
      </c>
      <c r="H227">
        <v>38</v>
      </c>
      <c r="I227" s="12">
        <f>H227*_xlfn.XLOOKUP(E227,Products!$A:$A,Products!$D:$D,0)</f>
        <v>1862</v>
      </c>
      <c r="J227" s="12">
        <f>H227*_xlfn.XLOOKUP(E227,Products!$A:$A,Products!$E:$E,0)</f>
        <v>836</v>
      </c>
      <c r="K227" s="13">
        <f>IFERROR((I227-J227)/I227,0)</f>
        <v>0.5510204081632653</v>
      </c>
      <c r="L227" t="s">
        <v>50</v>
      </c>
    </row>
    <row r="228" spans="1:12" x14ac:dyDescent="0.25">
      <c r="A228" t="s">
        <v>271</v>
      </c>
      <c r="B228" s="11">
        <v>46382</v>
      </c>
      <c r="C228" t="s">
        <v>10</v>
      </c>
      <c r="D228" t="s">
        <v>21</v>
      </c>
      <c r="E228" t="s">
        <v>52</v>
      </c>
      <c r="F228" t="str">
        <f>_xlfn.XLOOKUP(E228,Products!$A:$A,Products!$B:$B,"?")</f>
        <v>Setup</v>
      </c>
      <c r="G228" t="str">
        <f>_xlfn.XLOOKUP(E228,Products!$A:$A,Products!$C:$C,"?")</f>
        <v>Services</v>
      </c>
      <c r="H228">
        <v>1</v>
      </c>
      <c r="I228" s="12">
        <f>H228*_xlfn.XLOOKUP(E228,Products!$A:$A,Products!$D:$D,0)</f>
        <v>450</v>
      </c>
      <c r="J228" s="12">
        <f>H228*_xlfn.XLOOKUP(E228,Products!$A:$A,Products!$E:$E,0)</f>
        <v>260</v>
      </c>
      <c r="K228" s="13">
        <f>IFERROR((I228-J228)/I228,0)</f>
        <v>0.4222222222222222</v>
      </c>
      <c r="L228" t="s">
        <v>50</v>
      </c>
    </row>
    <row r="229" spans="1:12" x14ac:dyDescent="0.25">
      <c r="A229" t="s">
        <v>272</v>
      </c>
      <c r="B229" s="11">
        <v>46372</v>
      </c>
      <c r="C229" t="s">
        <v>8</v>
      </c>
      <c r="D229" t="s">
        <v>23</v>
      </c>
      <c r="E229" t="s">
        <v>78</v>
      </c>
      <c r="F229" t="str">
        <f>_xlfn.XLOOKUP(E229,Products!$A:$A,Products!$B:$B,"?")</f>
        <v>Cloud Seat</v>
      </c>
      <c r="G229" t="str">
        <f>_xlfn.XLOOKUP(E229,Products!$A:$A,Products!$C:$C,"?")</f>
        <v>Software</v>
      </c>
      <c r="H229">
        <v>16</v>
      </c>
      <c r="I229" s="12">
        <f>H229*_xlfn.XLOOKUP(E229,Products!$A:$A,Products!$D:$D,0)</f>
        <v>480</v>
      </c>
      <c r="J229" s="12">
        <f>H229*_xlfn.XLOOKUP(E229,Products!$A:$A,Products!$E:$E,0)</f>
        <v>64</v>
      </c>
      <c r="K229" s="13">
        <f>IFERROR((I229-J229)/I229,0)</f>
        <v>0.8666666666666667</v>
      </c>
      <c r="L229" t="s">
        <v>58</v>
      </c>
    </row>
    <row r="230" spans="1:12" x14ac:dyDescent="0.25">
      <c r="A230" t="s">
        <v>273</v>
      </c>
      <c r="B230" s="11">
        <v>46358</v>
      </c>
      <c r="C230" t="s">
        <v>11</v>
      </c>
      <c r="D230" t="s">
        <v>20</v>
      </c>
      <c r="E230" t="s">
        <v>66</v>
      </c>
      <c r="F230" t="str">
        <f>_xlfn.XLOOKUP(E230,Products!$A:$A,Products!$B:$B,"?")</f>
        <v>Cloud Seat Plus</v>
      </c>
      <c r="G230" t="str">
        <f>_xlfn.XLOOKUP(E230,Products!$A:$A,Products!$C:$C,"?")</f>
        <v>Software</v>
      </c>
      <c r="H230">
        <v>74</v>
      </c>
      <c r="I230" s="12">
        <f>H230*_xlfn.XLOOKUP(E230,Products!$A:$A,Products!$D:$D,0)</f>
        <v>4070</v>
      </c>
      <c r="J230" s="12">
        <f>H230*_xlfn.XLOOKUP(E230,Products!$A:$A,Products!$E:$E,0)</f>
        <v>518</v>
      </c>
      <c r="K230" s="13">
        <f>IFERROR((I230-J230)/I230,0)</f>
        <v>0.8727272727272727</v>
      </c>
      <c r="L230" t="s">
        <v>50</v>
      </c>
    </row>
    <row r="231" spans="1:12" x14ac:dyDescent="0.25">
      <c r="A231" t="s">
        <v>274</v>
      </c>
      <c r="B231" s="11">
        <v>46366</v>
      </c>
      <c r="C231" t="s">
        <v>11</v>
      </c>
      <c r="D231" t="s">
        <v>19</v>
      </c>
      <c r="E231" t="s">
        <v>55</v>
      </c>
      <c r="F231" t="str">
        <f>_xlfn.XLOOKUP(E231,Products!$A:$A,Products!$B:$B,"?")</f>
        <v>Gadget</v>
      </c>
      <c r="G231" t="str">
        <f>_xlfn.XLOOKUP(E231,Products!$A:$A,Products!$C:$C,"?")</f>
        <v>Hardware</v>
      </c>
      <c r="H231">
        <v>60</v>
      </c>
      <c r="I231" s="12">
        <f>H231*_xlfn.XLOOKUP(E231,Products!$A:$A,Products!$D:$D,0)</f>
        <v>5340</v>
      </c>
      <c r="J231" s="12">
        <f>H231*_xlfn.XLOOKUP(E231,Products!$A:$A,Products!$E:$E,0)</f>
        <v>2820</v>
      </c>
      <c r="K231" s="13">
        <f>IFERROR((I231-J231)/I231,0)</f>
        <v>0.47191011235955055</v>
      </c>
      <c r="L231" t="s">
        <v>50</v>
      </c>
    </row>
    <row r="232" spans="1:12" x14ac:dyDescent="0.25">
      <c r="A232" t="s">
        <v>275</v>
      </c>
      <c r="B232" s="11">
        <v>46379</v>
      </c>
      <c r="C232" t="s">
        <v>10</v>
      </c>
      <c r="D232" t="s">
        <v>21</v>
      </c>
      <c r="E232" t="s">
        <v>49</v>
      </c>
      <c r="F232" t="str">
        <f>_xlfn.XLOOKUP(E232,Products!$A:$A,Products!$B:$B,"?")</f>
        <v>Widget</v>
      </c>
      <c r="G232" t="str">
        <f>_xlfn.XLOOKUP(E232,Products!$A:$A,Products!$C:$C,"?")</f>
        <v>Hardware</v>
      </c>
      <c r="H232">
        <v>72</v>
      </c>
      <c r="I232" s="12">
        <f>H232*_xlfn.XLOOKUP(E232,Products!$A:$A,Products!$D:$D,0)</f>
        <v>1728</v>
      </c>
      <c r="J232" s="12">
        <f>H232*_xlfn.XLOOKUP(E232,Products!$A:$A,Products!$E:$E,0)</f>
        <v>792</v>
      </c>
      <c r="K232" s="13">
        <f>IFERROR((I232-J232)/I232,0)</f>
        <v>0.5416666666666666</v>
      </c>
      <c r="L232" t="s">
        <v>50</v>
      </c>
    </row>
    <row r="233" spans="1:12" x14ac:dyDescent="0.25">
      <c r="A233" t="s">
        <v>276</v>
      </c>
      <c r="B233" s="11">
        <v>46370</v>
      </c>
      <c r="C233" t="s">
        <v>8</v>
      </c>
      <c r="D233" t="s">
        <v>23</v>
      </c>
      <c r="E233" t="s">
        <v>49</v>
      </c>
      <c r="F233" t="str">
        <f>_xlfn.XLOOKUP(E233,Products!$A:$A,Products!$B:$B,"?")</f>
        <v>Widget</v>
      </c>
      <c r="G233" t="str">
        <f>_xlfn.XLOOKUP(E233,Products!$A:$A,Products!$C:$C,"?")</f>
        <v>Hardware</v>
      </c>
      <c r="H233">
        <v>12</v>
      </c>
      <c r="I233" s="12">
        <f>H233*_xlfn.XLOOKUP(E233,Products!$A:$A,Products!$D:$D,0)</f>
        <v>288</v>
      </c>
      <c r="J233" s="12">
        <f>H233*_xlfn.XLOOKUP(E233,Products!$A:$A,Products!$E:$E,0)</f>
        <v>132</v>
      </c>
      <c r="K233" s="13">
        <f>IFERROR((I233-J233)/I233,0)</f>
        <v>0.5416666666666666</v>
      </c>
      <c r="L233" t="s">
        <v>58</v>
      </c>
    </row>
    <row r="234" spans="1:12" x14ac:dyDescent="0.25">
      <c r="A234" t="s">
        <v>277</v>
      </c>
      <c r="B234" s="11">
        <v>46364</v>
      </c>
      <c r="C234" t="s">
        <v>11</v>
      </c>
      <c r="D234" t="s">
        <v>20</v>
      </c>
      <c r="E234" t="s">
        <v>52</v>
      </c>
      <c r="F234" t="str">
        <f>_xlfn.XLOOKUP(E234,Products!$A:$A,Products!$B:$B,"?")</f>
        <v>Setup</v>
      </c>
      <c r="G234" t="str">
        <f>_xlfn.XLOOKUP(E234,Products!$A:$A,Products!$C:$C,"?")</f>
        <v>Services</v>
      </c>
      <c r="H234">
        <v>1</v>
      </c>
      <c r="I234" s="12">
        <f>H234*_xlfn.XLOOKUP(E234,Products!$A:$A,Products!$D:$D,0)</f>
        <v>450</v>
      </c>
      <c r="J234" s="12">
        <f>H234*_xlfn.XLOOKUP(E234,Products!$A:$A,Products!$E:$E,0)</f>
        <v>260</v>
      </c>
      <c r="K234" s="13">
        <f>IFERROR((I234-J234)/I234,0)</f>
        <v>0.4222222222222222</v>
      </c>
      <c r="L234" t="s">
        <v>50</v>
      </c>
    </row>
    <row r="235" spans="1:12" x14ac:dyDescent="0.25">
      <c r="A235" t="s">
        <v>278</v>
      </c>
      <c r="B235" s="11">
        <v>46376</v>
      </c>
      <c r="C235" t="s">
        <v>11</v>
      </c>
      <c r="D235" t="s">
        <v>20</v>
      </c>
      <c r="E235" t="s">
        <v>66</v>
      </c>
      <c r="F235" t="str">
        <f>_xlfn.XLOOKUP(E235,Products!$A:$A,Products!$B:$B,"?")</f>
        <v>Cloud Seat Plus</v>
      </c>
      <c r="G235" t="str">
        <f>_xlfn.XLOOKUP(E235,Products!$A:$A,Products!$C:$C,"?")</f>
        <v>Software</v>
      </c>
      <c r="H235">
        <v>8</v>
      </c>
      <c r="I235" s="12">
        <f>H235*_xlfn.XLOOKUP(E235,Products!$A:$A,Products!$D:$D,0)</f>
        <v>440</v>
      </c>
      <c r="J235" s="12">
        <f>H235*_xlfn.XLOOKUP(E235,Products!$A:$A,Products!$E:$E,0)</f>
        <v>56</v>
      </c>
      <c r="K235" s="13">
        <f>IFERROR((I235-J235)/I235,0)</f>
        <v>0.8727272727272727</v>
      </c>
      <c r="L235" t="s">
        <v>50</v>
      </c>
    </row>
    <row r="236" spans="1:12" x14ac:dyDescent="0.25">
      <c r="A236" t="s">
        <v>279</v>
      </c>
      <c r="B236" s="11">
        <v>46374</v>
      </c>
      <c r="C236" t="s">
        <v>9</v>
      </c>
      <c r="D236" t="s">
        <v>17</v>
      </c>
      <c r="E236" t="s">
        <v>57</v>
      </c>
      <c r="F236" t="str">
        <f>_xlfn.XLOOKUP(E236,Products!$A:$A,Products!$B:$B,"?")</f>
        <v>Training day</v>
      </c>
      <c r="G236" t="str">
        <f>_xlfn.XLOOKUP(E236,Products!$A:$A,Products!$C:$C,"?")</f>
        <v>Services</v>
      </c>
      <c r="H236">
        <v>2</v>
      </c>
      <c r="I236" s="12">
        <f>H236*_xlfn.XLOOKUP(E236,Products!$A:$A,Products!$D:$D,0)</f>
        <v>2400</v>
      </c>
      <c r="J236" s="12">
        <f>H236*_xlfn.XLOOKUP(E236,Products!$A:$A,Products!$E:$E,0)</f>
        <v>1280</v>
      </c>
      <c r="K236" s="13">
        <f>IFERROR((I236-J236)/I236,0)</f>
        <v>0.4666666666666667</v>
      </c>
      <c r="L236" t="s">
        <v>6</v>
      </c>
    </row>
    <row r="237" spans="1:12" x14ac:dyDescent="0.25">
      <c r="A237" t="s">
        <v>280</v>
      </c>
      <c r="B237" s="11">
        <v>46364</v>
      </c>
      <c r="C237" t="s">
        <v>9</v>
      </c>
      <c r="D237" t="s">
        <v>17</v>
      </c>
      <c r="E237" t="s">
        <v>68</v>
      </c>
      <c r="F237" t="str">
        <f>_xlfn.XLOOKUP(E237,Products!$A:$A,Products!$B:$B,"?")</f>
        <v>Widget Pro</v>
      </c>
      <c r="G237" t="str">
        <f>_xlfn.XLOOKUP(E237,Products!$A:$A,Products!$C:$C,"?")</f>
        <v>Hardware</v>
      </c>
      <c r="H237">
        <v>83</v>
      </c>
      <c r="I237" s="12">
        <f>H237*_xlfn.XLOOKUP(E237,Products!$A:$A,Products!$D:$D,0)</f>
        <v>4067</v>
      </c>
      <c r="J237" s="12">
        <f>H237*_xlfn.XLOOKUP(E237,Products!$A:$A,Products!$E:$E,0)</f>
        <v>1826</v>
      </c>
      <c r="K237" s="13">
        <f>IFERROR((I237-J237)/I237,0)</f>
        <v>0.5510204081632653</v>
      </c>
      <c r="L237" t="s">
        <v>50</v>
      </c>
    </row>
    <row r="238" spans="1:12" x14ac:dyDescent="0.25">
      <c r="A238" t="s">
        <v>281</v>
      </c>
      <c r="B238" s="11">
        <v>46368</v>
      </c>
      <c r="C238" t="s">
        <v>8</v>
      </c>
      <c r="D238" t="s">
        <v>48</v>
      </c>
      <c r="E238" t="s">
        <v>68</v>
      </c>
      <c r="F238" t="str">
        <f>_xlfn.XLOOKUP(E238,Products!$A:$A,Products!$B:$B,"?")</f>
        <v>Widget Pro</v>
      </c>
      <c r="G238" t="str">
        <f>_xlfn.XLOOKUP(E238,Products!$A:$A,Products!$C:$C,"?")</f>
        <v>Hardware</v>
      </c>
      <c r="H238">
        <v>56</v>
      </c>
      <c r="I238" s="12">
        <f>H238*_xlfn.XLOOKUP(E238,Products!$A:$A,Products!$D:$D,0)</f>
        <v>2744</v>
      </c>
      <c r="J238" s="12">
        <f>H238*_xlfn.XLOOKUP(E238,Products!$A:$A,Products!$E:$E,0)</f>
        <v>1232</v>
      </c>
      <c r="K238" s="13">
        <f>IFERROR((I238-J238)/I238,0)</f>
        <v>0.5510204081632653</v>
      </c>
      <c r="L238" t="s">
        <v>50</v>
      </c>
    </row>
    <row r="239" spans="1:12" x14ac:dyDescent="0.25">
      <c r="A239" t="s">
        <v>282</v>
      </c>
      <c r="B239" s="11">
        <v>46362</v>
      </c>
      <c r="C239" t="s">
        <v>10</v>
      </c>
      <c r="D239" t="s">
        <v>21</v>
      </c>
      <c r="E239" t="s">
        <v>66</v>
      </c>
      <c r="F239" t="str">
        <f>_xlfn.XLOOKUP(E239,Products!$A:$A,Products!$B:$B,"?")</f>
        <v>Cloud Seat Plus</v>
      </c>
      <c r="G239" t="str">
        <f>_xlfn.XLOOKUP(E239,Products!$A:$A,Products!$C:$C,"?")</f>
        <v>Software</v>
      </c>
      <c r="H239">
        <v>77</v>
      </c>
      <c r="I239" s="12">
        <f>H239*_xlfn.XLOOKUP(E239,Products!$A:$A,Products!$D:$D,0)</f>
        <v>4235</v>
      </c>
      <c r="J239" s="12">
        <f>H239*_xlfn.XLOOKUP(E239,Products!$A:$A,Products!$E:$E,0)</f>
        <v>539</v>
      </c>
      <c r="K239" s="13">
        <f>IFERROR((I239-J239)/I239,0)</f>
        <v>0.8727272727272727</v>
      </c>
      <c r="L239" t="s">
        <v>50</v>
      </c>
    </row>
    <row r="240" spans="1:12" x14ac:dyDescent="0.25">
      <c r="A240" t="s">
        <v>283</v>
      </c>
      <c r="B240" s="11">
        <v>46367</v>
      </c>
      <c r="C240" t="s">
        <v>8</v>
      </c>
      <c r="D240" t="s">
        <v>23</v>
      </c>
      <c r="E240" t="s">
        <v>49</v>
      </c>
      <c r="F240" t="str">
        <f>_xlfn.XLOOKUP(E240,Products!$A:$A,Products!$B:$B,"?")</f>
        <v>Widget</v>
      </c>
      <c r="G240" t="str">
        <f>_xlfn.XLOOKUP(E240,Products!$A:$A,Products!$C:$C,"?")</f>
        <v>Hardware</v>
      </c>
      <c r="H240">
        <v>74</v>
      </c>
      <c r="I240" s="12">
        <f>H240*_xlfn.XLOOKUP(E240,Products!$A:$A,Products!$D:$D,0)</f>
        <v>1776</v>
      </c>
      <c r="J240" s="12">
        <f>H240*_xlfn.XLOOKUP(E240,Products!$A:$A,Products!$E:$E,0)</f>
        <v>814</v>
      </c>
      <c r="K240" s="13">
        <f>IFERROR((I240-J240)/I240,0)</f>
        <v>0.5416666666666666</v>
      </c>
      <c r="L240" t="s">
        <v>58</v>
      </c>
    </row>
    <row r="241" spans="1:12" x14ac:dyDescent="0.25">
      <c r="A241" t="s">
        <v>284</v>
      </c>
      <c r="B241" s="11">
        <v>46365</v>
      </c>
      <c r="C241" t="s">
        <v>8</v>
      </c>
      <c r="D241" t="s">
        <v>23</v>
      </c>
      <c r="E241" t="s">
        <v>55</v>
      </c>
      <c r="F241" t="str">
        <f>_xlfn.XLOOKUP(E241,Products!$A:$A,Products!$B:$B,"?")</f>
        <v>Gadget</v>
      </c>
      <c r="G241" t="str">
        <f>_xlfn.XLOOKUP(E241,Products!$A:$A,Products!$C:$C,"?")</f>
        <v>Hardware</v>
      </c>
      <c r="H241">
        <v>73</v>
      </c>
      <c r="I241" s="12">
        <f>H241*_xlfn.XLOOKUP(E241,Products!$A:$A,Products!$D:$D,0)</f>
        <v>6497</v>
      </c>
      <c r="J241" s="12">
        <f>H241*_xlfn.XLOOKUP(E241,Products!$A:$A,Products!$E:$E,0)</f>
        <v>3431</v>
      </c>
      <c r="K241" s="13">
        <f>IFERROR((I241-J241)/I241,0)</f>
        <v>0.47191011235955055</v>
      </c>
      <c r="L241" t="s">
        <v>50</v>
      </c>
    </row>
  </sheetData>
  <autoFilter ref="A1:L241"/>
  <conditionalFormatting sqref="A2:L241">
    <cfRule type="expression" dxfId="0" priority="1">
      <formula>$L2="Returned"</formula>
    </cfRule>
  </conditionalFormatting>
  <conditionalFormatting sqref="I2:I24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{DA61B58E-4CFB-4CFB-ACF9-31F37B3C81FC}</x14:id>
        </ext>
      </extLst>
    </cfRule>
  </conditionalFormatting>
  <conditionalFormatting sqref="K2:K241">
    <cfRule type="cellIs" dxfId="1" priority="3" operator="lessThan">
      <formula>0.3</formula>
    </cfRule>
  </conditionalFormatting>
  <dataValidations count="4">
    <dataValidation type="list" allowBlank="1" showErrorMessage="1" errorStyle="stop" errorTitle="Unknown region" sqref="C2:C241">
      <formula1>"North,South,East,West"</formula1>
    </dataValidation>
    <dataValidation type="list" allowBlank="1" showInputMessage="1" promptTitle="SKU" prompt="Pick a product code from the Products sheet." showErrorMessage="1" errorStyle="stop" sqref="E2:E241">
      <formula1>Products!$A$2:$A$8</formula1>
    </dataValidation>
    <dataValidation type="whole" allowBlank="1" showErrorMessage="1" errorStyle="warning" error="Quantities above 500 are unusual; keep it?" sqref="H2:H241">
      <formula1>1</formula1>
      <formula2>500</formula2>
    </dataValidation>
    <dataValidation type="list" allowBlank="1" showErrorMessage="1" errorStyle="stop" sqref="L2:L241">
      <formula1>"Open,Paid,Returned"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61B58E-4CFB-4CFB-ACF9-31F37B3C81FC}">
            <x14:dataBar minLength="0" maxLength="100">
              <x14:cfvo type="min"/>
              <x14:cfvo type="max"/>
            </x14:dataBar>
          </x14:cfRule>
          <xm:sqref>I2:I241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8" outlineLevelRow="0" outlineLevelCol="0" x14ac:dyDescent="55" defaultColWidth="14.14" customHeight="1"/>
  <cols>
    <col min="1" max="1" width="10.71" customWidth="1"/>
    <col min="2" max="2" width="20.71" customWidth="1"/>
    <col min="3" max="3" width="15" customWidth="1"/>
    <col min="4" max="5" width="13.57" customWidth="1"/>
    <col min="6" max="6" width="12.14" customWidth="1"/>
  </cols>
  <sheetData>
    <row r="1" spans="1:7" x14ac:dyDescent="0.25">
      <c r="A1" s="7" t="s">
        <v>41</v>
      </c>
      <c r="B1" s="7" t="s">
        <v>42</v>
      </c>
      <c r="C1" s="7" t="s">
        <v>12</v>
      </c>
      <c r="D1" s="7" t="s">
        <v>285</v>
      </c>
      <c r="E1" s="7" t="s">
        <v>286</v>
      </c>
      <c r="F1" s="7" t="s">
        <v>45</v>
      </c>
      <c r="G1" s="7" t="s">
        <v>2</v>
      </c>
    </row>
    <row r="2" spans="1:7" x14ac:dyDescent="0.25">
      <c r="A2" t="s">
        <v>49</v>
      </c>
      <c r="B2" t="s">
        <v>287</v>
      </c>
      <c r="C2" t="s">
        <v>15</v>
      </c>
      <c r="D2" s="12">
        <v>24</v>
      </c>
      <c r="E2" s="12">
        <v>11</v>
      </c>
      <c r="F2" s="13">
        <f>(D2-E2)/D2</f>
        <v>0.5416666666666666</v>
      </c>
      <c r="G2" s="9">
        <f>SUMIFS(Orders!$I:$I,Orders!$E:$E,A2)</f>
        <v>45696</v>
      </c>
    </row>
    <row r="3" spans="1:7" x14ac:dyDescent="0.25">
      <c r="A3" t="s">
        <v>68</v>
      </c>
      <c r="B3" t="s">
        <v>288</v>
      </c>
      <c r="C3" t="s">
        <v>15</v>
      </c>
      <c r="D3" s="12">
        <v>49</v>
      </c>
      <c r="E3" s="12">
        <v>22</v>
      </c>
      <c r="F3" s="13">
        <f>(D3-E3)/D3</f>
        <v>0.5510204081632653</v>
      </c>
      <c r="G3" s="9">
        <f>SUMIFS(Orders!$I:$I,Orders!$E:$E,A3)</f>
        <v>76489</v>
      </c>
    </row>
    <row r="4" spans="1:7" x14ac:dyDescent="0.25">
      <c r="A4" t="s">
        <v>55</v>
      </c>
      <c r="B4" t="s">
        <v>289</v>
      </c>
      <c r="C4" t="s">
        <v>15</v>
      </c>
      <c r="D4" s="12">
        <v>89</v>
      </c>
      <c r="E4" s="12">
        <v>47</v>
      </c>
      <c r="F4" s="13">
        <f>(D4-E4)/D4</f>
        <v>0.47191011235955055</v>
      </c>
      <c r="G4" s="9">
        <f>SUMIFS(Orders!$I:$I,Orders!$E:$E,A4)</f>
        <v>123354</v>
      </c>
    </row>
    <row r="5" spans="1:7" x14ac:dyDescent="0.25">
      <c r="A5" t="s">
        <v>78</v>
      </c>
      <c r="B5" t="s">
        <v>290</v>
      </c>
      <c r="C5" t="s">
        <v>16</v>
      </c>
      <c r="D5" s="12">
        <v>30</v>
      </c>
      <c r="E5" s="12">
        <v>4</v>
      </c>
      <c r="F5" s="13">
        <f>(D5-E5)/D5</f>
        <v>0.8666666666666667</v>
      </c>
      <c r="G5" s="9">
        <f>SUMIFS(Orders!$I:$I,Orders!$E:$E,A5)</f>
        <v>25680</v>
      </c>
    </row>
    <row r="6" spans="1:7" x14ac:dyDescent="0.25">
      <c r="A6" t="s">
        <v>66</v>
      </c>
      <c r="B6" t="s">
        <v>291</v>
      </c>
      <c r="C6" t="s">
        <v>16</v>
      </c>
      <c r="D6" s="12">
        <v>55</v>
      </c>
      <c r="E6" s="12">
        <v>7</v>
      </c>
      <c r="F6" s="13">
        <f>(D6-E6)/D6</f>
        <v>0.8727272727272727</v>
      </c>
      <c r="G6" s="9">
        <f>SUMIFS(Orders!$I:$I,Orders!$E:$E,A6)</f>
        <v>77825</v>
      </c>
    </row>
    <row r="7" spans="1:7" x14ac:dyDescent="0.25">
      <c r="A7" t="s">
        <v>52</v>
      </c>
      <c r="B7" t="s">
        <v>292</v>
      </c>
      <c r="C7" t="s">
        <v>18</v>
      </c>
      <c r="D7" s="12">
        <v>450</v>
      </c>
      <c r="E7" s="12">
        <v>260</v>
      </c>
      <c r="F7" s="13">
        <f>(D7-E7)/D7</f>
        <v>0.4222222222222222</v>
      </c>
      <c r="G7" s="9">
        <f>SUMIFS(Orders!$I:$I,Orders!$E:$E,A7)</f>
        <v>40500</v>
      </c>
    </row>
    <row r="8" spans="1:7" x14ac:dyDescent="0.25">
      <c r="A8" t="s">
        <v>57</v>
      </c>
      <c r="B8" t="s">
        <v>293</v>
      </c>
      <c r="C8" t="s">
        <v>18</v>
      </c>
      <c r="D8" s="12">
        <v>1200</v>
      </c>
      <c r="E8" s="12">
        <v>640</v>
      </c>
      <c r="F8" s="13">
        <f>(D8-E8)/D8</f>
        <v>0.4666666666666667</v>
      </c>
      <c r="G8" s="9">
        <f>SUMIFS(Orders!$I:$I,Orders!$E:$E,A8)</f>
        <v>82800</v>
      </c>
    </row>
  </sheetData>
  <conditionalFormatting sqref="F2: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8" outlineLevelRow="0" outlineLevelCol="0" x14ac:dyDescent="55" defaultColWidth="14.14" customHeight="1"/>
  <cols>
    <col min="1" max="1" width="17.86" customWidth="1"/>
    <col min="2" max="2" width="12.14" customWidth="1"/>
    <col min="3" max="4" width="16.43" customWidth="1"/>
    <col min="5" max="5" width="15" customWidth="1"/>
    <col min="6" max="6" width="10.71" customWidth="1"/>
  </cols>
  <sheetData>
    <row r="1" spans="1:10" x14ac:dyDescent="0.25">
      <c r="A1" s="7" t="s">
        <v>40</v>
      </c>
      <c r="B1" s="7" t="s">
        <v>39</v>
      </c>
      <c r="C1" s="7" t="s">
        <v>294</v>
      </c>
      <c r="D1" s="7" t="s">
        <v>14</v>
      </c>
      <c r="E1" s="7" t="s">
        <v>295</v>
      </c>
      <c r="F1" s="7" t="s">
        <v>4</v>
      </c>
      <c r="H1" s="7" t="s">
        <v>40</v>
      </c>
      <c r="I1" s="7" t="s">
        <v>14</v>
      </c>
      <c r="J1" s="7" t="s">
        <v>296</v>
      </c>
    </row>
    <row r="2" spans="1:10" x14ac:dyDescent="0.25">
      <c r="A2" t="s">
        <v>48</v>
      </c>
      <c r="B2" t="s">
        <v>8</v>
      </c>
      <c r="C2" s="9">
        <v>180000</v>
      </c>
      <c r="D2" s="9">
        <f>SUMIFS(Orders!$I:$I,Orders!$D:$D,A2)</f>
        <v>93973</v>
      </c>
      <c r="E2" s="13">
        <f>IFERROR(D2/C2,0)</f>
        <v>0.5220722222222223</v>
      </c>
      <c r="F2">
        <f>COUNTIFS(Orders!$D:$D,A2)</f>
        <v>52</v>
      </c>
      <c r="H2" t="str">
        <f>A2</f>
        <v>Asha Rao</v>
      </c>
      <c r="I2" s="9">
        <f>D2</f>
        <v>93973</v>
      </c>
      <c r="J2" s="9">
        <f>C2</f>
        <v>180000</v>
      </c>
    </row>
    <row r="3" spans="1:10" x14ac:dyDescent="0.25">
      <c r="A3" t="s">
        <v>17</v>
      </c>
      <c r="B3" t="s">
        <v>9</v>
      </c>
      <c r="C3" s="9">
        <v>150000</v>
      </c>
      <c r="D3" s="9">
        <f>SUMIFS(Orders!$I:$I,Orders!$D:$D,A3)</f>
        <v>81362</v>
      </c>
      <c r="E3" s="13">
        <f>IFERROR(D3/C3,0)</f>
        <v>0.5424133333333333</v>
      </c>
      <c r="F3">
        <f>COUNTIFS(Orders!$D:$D,A3)</f>
        <v>40</v>
      </c>
      <c r="H3" t="str">
        <f>A3</f>
        <v>Ben Okafor</v>
      </c>
      <c r="I3" s="9">
        <f>D3</f>
        <v>81362</v>
      </c>
      <c r="J3" s="9">
        <f>C3</f>
        <v>150000</v>
      </c>
    </row>
    <row r="4" spans="1:10" x14ac:dyDescent="0.25">
      <c r="A4" t="s">
        <v>21</v>
      </c>
      <c r="B4" t="s">
        <v>10</v>
      </c>
      <c r="C4" s="9">
        <v>170000</v>
      </c>
      <c r="D4" s="9">
        <f>SUMIFS(Orders!$I:$I,Orders!$D:$D,A4)</f>
        <v>73015</v>
      </c>
      <c r="E4" s="13">
        <f>IFERROR(D4/C4,0)</f>
        <v>0.4295</v>
      </c>
      <c r="F4">
        <f>COUNTIFS(Orders!$D:$D,A4)</f>
        <v>34</v>
      </c>
      <c r="H4" t="str">
        <f>A4</f>
        <v>Chen Wei</v>
      </c>
      <c r="I4" s="9">
        <f>D4</f>
        <v>73015</v>
      </c>
      <c r="J4" s="9">
        <f>C4</f>
        <v>170000</v>
      </c>
    </row>
    <row r="5" spans="1:10" x14ac:dyDescent="0.25">
      <c r="A5" t="s">
        <v>20</v>
      </c>
      <c r="B5" t="s">
        <v>11</v>
      </c>
      <c r="C5" s="9">
        <v>160000</v>
      </c>
      <c r="D5" s="9">
        <f>SUMIFS(Orders!$I:$I,Orders!$D:$D,A5)</f>
        <v>75889</v>
      </c>
      <c r="E5" s="13">
        <f>IFERROR(D5/C5,0)</f>
        <v>0.47430625</v>
      </c>
      <c r="F5">
        <f>COUNTIFS(Orders!$D:$D,A5)</f>
        <v>38</v>
      </c>
      <c r="H5" t="str">
        <f>A5</f>
        <v>Dara Kim</v>
      </c>
      <c r="I5" s="9">
        <f>D5</f>
        <v>75889</v>
      </c>
      <c r="J5" s="9">
        <f>C5</f>
        <v>160000</v>
      </c>
    </row>
    <row r="6" spans="1:10" x14ac:dyDescent="0.25">
      <c r="A6" t="s">
        <v>23</v>
      </c>
      <c r="B6" t="s">
        <v>8</v>
      </c>
      <c r="C6" s="9">
        <v>140000</v>
      </c>
      <c r="D6" s="9">
        <f>SUMIFS(Orders!$I:$I,Orders!$D:$D,A6)</f>
        <v>70120</v>
      </c>
      <c r="E6" s="13">
        <f>IFERROR(D6/C6,0)</f>
        <v>0.5008571428571429</v>
      </c>
      <c r="F6">
        <f>COUNTIFS(Orders!$D:$D,A6)</f>
        <v>39</v>
      </c>
      <c r="H6" t="str">
        <f>A6</f>
        <v>Elena Ruiz</v>
      </c>
      <c r="I6" s="9">
        <f>D6</f>
        <v>70120</v>
      </c>
      <c r="J6" s="9">
        <f>C6</f>
        <v>140000</v>
      </c>
    </row>
    <row r="7" spans="1:10" x14ac:dyDescent="0.25">
      <c r="A7" t="s">
        <v>19</v>
      </c>
      <c r="B7" t="s">
        <v>11</v>
      </c>
      <c r="C7" s="9">
        <v>155000</v>
      </c>
      <c r="D7" s="9">
        <f>SUMIFS(Orders!$I:$I,Orders!$D:$D,A7)</f>
        <v>77985</v>
      </c>
      <c r="E7" s="13">
        <f>IFERROR(D7/C7,0)</f>
        <v>0.5031290322580645</v>
      </c>
      <c r="F7">
        <f>COUNTIFS(Orders!$D:$D,A7)</f>
        <v>37</v>
      </c>
      <c r="H7" t="str">
        <f>A7</f>
        <v>Farid Haddad</v>
      </c>
      <c r="I7" s="9">
        <f>D7</f>
        <v>77985</v>
      </c>
      <c r="J7" s="9">
        <f>C7</f>
        <v>155000</v>
      </c>
    </row>
  </sheetData>
  <conditionalFormatting sqref="E2:E7">
    <cfRule type="iconSet" priority="1">
      <iconSet iconSet="3TrafficLights1">
        <cfvo type="percent" val="0"/>
        <cfvo type="percent" val="33"/>
        <cfvo type="percent" val="67"/>
      </iconSet>
    </cfRule>
  </conditionalFormatting>
  <conditionalFormatting sqref="D2:D7">
    <cfRule type="dataBar" priority="2">
      <dataBar>
        <cfvo type="min"/>
        <cfvo type="max"/>
        <color rgb="FF638EC6"/>
      </dataBar>
      <drawing r:id="rIdDrawing1"/>
      <extLst>
        <ext xmlns:x14="http://schemas.microsoft.com/office/spreadsheetml/2009/9/main" uri="{B025F937-C7B1-47D3-B67F-A62EFF666E3E}">
          <x14:id>{9C49B82E-AD77-4999-9DAB-E82CB597C87C}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49B82E-AD77-4999-9DAB-E82CB597C87C}">
            <x14:dataBar minLength="0" maxLength="100">
              <x14:cfvo type="min"/>
              <x14:cfvo type="max"/>
            </x14:dataBar>
          </x14:cfRule>
          <xm:sqref>D2:D7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Orders</vt:lpstr>
      <vt:lpstr>Products</vt:lpstr>
      <vt:lpstr>Reps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AgentSwarms Sheets</dc:creator>
  <dc:title/>
  <dc:subject/>
  <dc:description/>
  <cp:keywords/>
  <cp:category/>
  <cp:lastModifiedBy>Unknown</cp:lastModifiedBy>
  <dcterms:created xsi:type="dcterms:W3CDTF">2026-09-28T18:28:47Z</dcterms:created>
  <dcterms:modified xsi:type="dcterms:W3CDTF">2026-09-28T18:28:47Z</dcterms:modified>
</cp:coreProperties>
</file>