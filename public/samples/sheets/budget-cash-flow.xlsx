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del" state="visible" r:id="rId5"/>
    <sheet sheetId="3" name="Scenarios" state="visible" r:id="rId6"/>
  </sheets>
  <calcPr calcId="171027" fullCalcOnLoad="1"/>
</workbook>
</file>

<file path=xl/sharedStrings.xml><?xml version="1.0" encoding="utf-8"?>
<sst xmlns="http://schemas.openxmlformats.org/spreadsheetml/2006/main" count="62" uniqueCount="40">
  <si>
    <t>Budget and cash flow 2026</t>
  </si>
  <si>
    <t>Pick a scenario in B4; the Model sheet follows it through INDEX/MATCH.</t>
  </si>
  <si>
    <t>Scenario</t>
  </si>
  <si>
    <t>Base</t>
  </si>
  <si>
    <t>Monthly growth</t>
  </si>
  <si>
    <t>Price per customer</t>
  </si>
  <si>
    <t>Monthly churn</t>
  </si>
  <si>
    <t>Marketing a month</t>
  </si>
  <si>
    <t>Customers in January</t>
  </si>
  <si>
    <t>Cost to serve a customer</t>
  </si>
  <si>
    <t>Salaries a month</t>
  </si>
  <si>
    <t>Opening cash</t>
  </si>
  <si>
    <t>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</si>
  <si>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</si>
  <si>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</si>
  <si>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</si>
  <si>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</si>
  <si>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</si>
  <si>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</si>
  <si>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</si>
  <si>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</si>
  <si>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</si>
  <si>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</si>
  <si>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</si>
  <si>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</si>
  <si>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</si>
  <si>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Customers</t>
  </si>
  <si>
    <t>Revenue</t>
  </si>
  <si>
    <t>Cost to serve</t>
  </si>
  <si>
    <t>Marketing</t>
  </si>
  <si>
    <t>Salaries</t>
  </si>
  <si>
    <t>Net</t>
  </si>
  <si>
    <t>Cash at month end</t>
  </si>
  <si>
    <t>Month</t>
  </si>
  <si>
    <t>Costs</t>
  </si>
  <si>
    <t>Cash</t>
  </si>
  <si>
    <t>Price</t>
  </si>
  <si>
    <t>Churn</t>
  </si>
  <si>
    <t>Best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</si>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</sst>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$&quot;#,##0"/>
  </numFmts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Calibri"/>
    </font>
    <font>
      <i/>
      <color rgb="FF595959"/>
      <sz val="11"/>
      <name val="Calibri"/>
    </font>
    <font>
      <b/>
      <sz val="11"/>
      <name val="Calibri"/>
    </font>
    <font>
      <b/>
      <color rgb="FFFFFFFF"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0" fontId="5" fillId="0" borderId="0" xfId="0" applyFont="1"/>
    <xf numFmtId="165" fontId="3" fillId="0" borderId="0" xfId="0" applyNumberFormat="1" applyFont="1"/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Revenue, costs and net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Model!$B$11</c:f>
            </c:strRef>
          </c:tx>
          <c:spPr>
            <a:solidFill>
              <a:srgbClr val="4472C4"/>
            </a:solidFill>
          </c:spPr>
          <c:cat>
            <c:strRef>
              <c:f>Model!$A$12:$A$23</c:f>
            </c:strRef>
          </c:cat>
          <c:val>
            <c:numRef>
              <c:f>Model!$B$12:$B$23</c:f>
            </c:numRef>
          </c:val>
        </c:ser>
        <c:gapWidth val="150"/>
        <c:axId val="10"/>
        <c:axId val="20"/>
      </c:barChart>
      <c:lineChart>
        <c:grouping val="standard"/>
        <c:varyColors val="0"/>
        <c:ser>
          <c:idx val="1"/>
          <c:order val="1"/>
          <c:tx>
            <c:strRef>
              <c:f>Model!$C$11</c:f>
            </c:strRef>
          </c:tx>
          <c:spPr>
            <a:ln w="28575" cap="rnd">
              <a:solidFill>
                <a:srgbClr val="ED7D31"/>
              </a:solidFill>
              <a:round/>
            </a:ln>
          </c:spPr>
          <c:marker>
            <c:symbol val="none"/>
          </c:marker>
          <c:cat>
            <c:strRef>
              <c:f>Model!$A$12:$A$23</c:f>
            </c:strRef>
          </c:cat>
          <c:val>
            <c:numRef>
              <c:f>Model!$C$12:$C$23</c:f>
            </c:numRef>
          </c:val>
          <c:smooth val="0"/>
        </c:ser>
        <c:ser>
          <c:idx val="2"/>
          <c:order val="2"/>
          <c:tx>
            <c:strRef>
              <c:f>Model!$D$11</c:f>
            </c:strRef>
          </c:tx>
          <c:spPr>
            <a:ln w="28575" cap="rnd">
              <a:solidFill>
                <a:srgbClr val="A5A5A5"/>
              </a:solidFill>
              <a:round/>
            </a:ln>
          </c:spPr>
          <c:marker>
            <c:symbol val="none"/>
          </c:marker>
          <c:cat>
            <c:strRef>
              <c:f>Model!$A$12:$A$23</c:f>
            </c:strRef>
          </c:cat>
          <c:val>
            <c:numRef>
              <c:f>Model!$D$12:$D$23</c:f>
            </c:numRef>
          </c:val>
          <c:smooth val="0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numFmt formatCode="General" sourceLinked="1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Cash at month end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Model!$K$11</c:f>
            </c:strRef>
          </c:tx>
          <c:spPr>
            <a:solidFill>
              <a:srgbClr val="4472C4"/>
            </a:solidFill>
          </c:spPr>
          <c:cat>
            <c:strRef>
              <c:f>Model!$J$12:$J$23</c:f>
            </c:strRef>
          </c:cat>
          <c:val>
            <c:numRef>
              <c:f>Model!$K$12:$K$23</c:f>
            </c:numRef>
          </c:val>
        </c:ser>
        <c:axId val="10"/>
        <c:axId val="20"/>
      </c:areaChart>
      <c:catAx>
        <c:axId val="10"/>
        <c:scaling>
          <c:orientation val="minMax"/>
        </c:scaling>
        <c:delete val="0"/>
        <c:axPos val="b"/>
        <c:numFmt formatCode="General" sourceLinked="1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Customers against revenue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Model!$H$11</c:f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circle"/>
          </c:marker>
          <c:xVal>
            <c:numRef>
              <c:f>Model!$G$12:$G$23</c:f>
            </c:numRef>
          </c:xVal>
          <c:yVal>
            <c:numRef>
              <c:f>Model!$H$12:$H$23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p>
                <a:r>
                  <a:t>Customers</a:t>
                </a:r>
              </a:p>
            </c:rich>
          </c:tx>
          <c:overlay val="0"/>
        </c:title>
        <c:numFmt formatCode="General" sourceLinked="1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p>
                <a:r>
                  <a:t>Revenue</a:t>
                </a:r>
              </a:p>
            </c:rich>
          </c:tx>
          <c:overlay val="0"/>
        </c:title>
        <c:numFmt formatCode="General" sourceLinked="1"/>
        <c:tickLblPos val="nextTo"/>
        <c:crossAx val="10"/>
        <c:crosses val="autoZero"/>
        <c:crossBetween val="midCat"/>
      </c:valAx>
    </c:plotArea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190500</xdr:colOff>
      <xdr:row>24</xdr:row>
      <xdr:rowOff>38100</xdr:rowOff>
    </xdr:from>
    <xdr:to>
      <xdr:col>5</xdr:col>
      <xdr:colOff>476250</xdr:colOff>
      <xdr:row>36</xdr:row>
      <xdr:rowOff>152400</xdr:rowOff>
    </xdr:to>
    <xdr:graphicFrame macro="">
      <xdr:nvGraphicFramePr>
        <xdr:cNvPr id="2" name="Revenue, costs and ne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5</xdr:col>
      <xdr:colOff>666750</xdr:colOff>
      <xdr:row>24</xdr:row>
      <xdr:rowOff>38100</xdr:rowOff>
    </xdr:from>
    <xdr:to>
      <xdr:col>10</xdr:col>
      <xdr:colOff>762000</xdr:colOff>
      <xdr:row>36</xdr:row>
      <xdr:rowOff>152400</xdr:rowOff>
    </xdr:to>
    <xdr:graphicFrame macro="">
      <xdr:nvGraphicFramePr>
        <xdr:cNvPr id="3" name="Cash at month 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oneCell">
    <xdr:from>
      <xdr:col>11</xdr:col>
      <xdr:colOff>95250</xdr:colOff>
      <xdr:row>24</xdr:row>
      <xdr:rowOff>38100</xdr:rowOff>
    </xdr:from>
    <xdr:to>
      <xdr:col>15</xdr:col>
      <xdr:colOff>342900</xdr:colOff>
      <xdr:row>36</xdr:row>
      <xdr:rowOff>152400</xdr:rowOff>
    </xdr:to>
    <xdr:graphicFrame macro="">
      <xdr:nvGraphicFramePr>
        <xdr:cNvPr id="4" name="Customers against reven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8" outlineLevelRow="0" outlineLevelCol="0" x14ac:dyDescent="55" defaultColWidth="14.14" customHeight="1"/>
  <cols>
    <col min="1" max="1" width="27.86" customWidth="1"/>
    <col min="2" max="2" width="17.8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t="s">
        <v>4</v>
      </c>
      <c r="B5" s="5">
        <f>INDEX(Scenarios!$B$2:$B$4,MATCH($B$4,Scenarios!$A$2:$A$4,0))</f>
        <v>0.04</v>
      </c>
    </row>
    <row r="6" spans="1:2" x14ac:dyDescent="0.25">
      <c r="A6" t="s">
        <v>5</v>
      </c>
      <c r="B6" s="6">
        <f>INDEX(Scenarios!$C$2:$C$4,MATCH($B$4,Scenarios!$A$2:$A$4,0))</f>
        <v>49</v>
      </c>
    </row>
    <row r="7" spans="1:2" x14ac:dyDescent="0.25">
      <c r="A7" t="s">
        <v>6</v>
      </c>
      <c r="B7" s="5">
        <f>INDEX(Scenarios!$D$2:$D$4,MATCH($B$4,Scenarios!$A$2:$A$4,0))</f>
        <v>0.02</v>
      </c>
    </row>
    <row r="8" spans="1:2" x14ac:dyDescent="0.25">
      <c r="A8" t="s">
        <v>7</v>
      </c>
      <c r="B8" s="6">
        <f>_xlfn.XLOOKUP($B$4,Scenarios!$A$2:$A$4,Scenarios!$E$2:$E$4)</f>
        <v>12000</v>
      </c>
    </row>
    <row r="9" spans="1:2" x14ac:dyDescent="0.25">
      <c r="A9" t="s">
        <v>8</v>
      </c>
      <c r="B9">
        <v>1200</v>
      </c>
    </row>
    <row r="10" spans="1:2" x14ac:dyDescent="0.25">
      <c r="A10" t="s">
        <v>9</v>
      </c>
      <c r="B10" s="6">
        <v>9</v>
      </c>
    </row>
    <row r="11" spans="1:2" x14ac:dyDescent="0.25">
      <c r="A11" t="s">
        <v>10</v>
      </c>
      <c r="B11" s="6">
        <v>38000</v>
      </c>
    </row>
    <row r="12" spans="1:2" x14ac:dyDescent="0.25">
      <c r="A12" t="s">
        <v>11</v>
      </c>
      <c r="B12" s="6">
        <v>150000</v>
      </c>
    </row>
  </sheetData>
  <dataValidations count="2">
    <dataValidation type="list" allowBlank="1" showInputMessage="1" promptTitle="Scenario" prompt="Base, Best or Worst" showErrorMessage="1" errorStyle="stop" sqref="B4">
      <formula1>Scenarios!$A$2:$A$4</formula1>
    </dataValidation>
    <dataValidation type="whole" operator="greaterThan" allowBlank="1" showErrorMessage="1" errorStyle="stop" sqref="B9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defaultColWidth="14.14" customHeight="1"/>
  <cols>
    <col min="1" max="1" width="23.57" customWidth="1"/>
    <col min="2" max="13" width="12.14" customWidth="1"/>
    <col min="14" max="14" width="15" customWidth="1"/>
  </cols>
  <sheetData>
    <row r="1" spans="1:14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</row>
    <row r="2" spans="1:14" x14ac:dyDescent="0.25">
      <c r="A2" s="8" t="s">
        <v>26</v>
      </c>
      <c r="B2">
        <f>Assumptions!$B$9</f>
        <v>1200</v>
      </c>
      <c r="C2">
        <f>ROUND(B2*(1+Assumptions!$B$5-Assumptions!$B$7),0)</f>
        <v>1224</v>
      </c>
      <c r="D2">
        <f>ROUND(C2*(1+Assumptions!$B$5-Assumptions!$B$7),0)</f>
        <v>1248</v>
      </c>
      <c r="E2">
        <f>ROUND(D2*(1+Assumptions!$B$5-Assumptions!$B$7),0)</f>
        <v>1273</v>
      </c>
      <c r="F2">
        <f>ROUND(E2*(1+Assumptions!$B$5-Assumptions!$B$7),0)</f>
        <v>1298</v>
      </c>
      <c r="G2">
        <f>ROUND(F2*(1+Assumptions!$B$5-Assumptions!$B$7),0)</f>
        <v>1324</v>
      </c>
      <c r="H2">
        <f>ROUND(G2*(1+Assumptions!$B$5-Assumptions!$B$7),0)</f>
        <v>1350</v>
      </c>
      <c r="I2">
        <f>ROUND(H2*(1+Assumptions!$B$5-Assumptions!$B$7),0)</f>
        <v>1377</v>
      </c>
      <c r="J2">
        <f>ROUND(I2*(1+Assumptions!$B$5-Assumptions!$B$7),0)</f>
        <v>1405</v>
      </c>
      <c r="K2">
        <f>ROUND(J2*(1+Assumptions!$B$5-Assumptions!$B$7),0)</f>
        <v>1433</v>
      </c>
      <c r="L2">
        <f>ROUND(K2*(1+Assumptions!$B$5-Assumptions!$B$7),0)</f>
        <v>1462</v>
      </c>
      <c r="M2">
        <f>ROUND(L2*(1+Assumptions!$B$5-Assumptions!$B$7),0)</f>
        <v>1491</v>
      </c>
      <c r="N2">
        <f>M2</f>
        <v>1491</v>
      </c>
    </row>
    <row r="3" spans="1:14" x14ac:dyDescent="0.25">
      <c r="A3" s="8" t="s">
        <v>27</v>
      </c>
      <c r="B3" s="6">
        <f>B2*Assumptions!$B$6</f>
        <v>58800</v>
      </c>
      <c r="C3" s="6">
        <f>C2*Assumptions!$B$6</f>
        <v>59976</v>
      </c>
      <c r="D3" s="6">
        <f>D2*Assumptions!$B$6</f>
        <v>61152</v>
      </c>
      <c r="E3" s="6">
        <f>E2*Assumptions!$B$6</f>
        <v>62377</v>
      </c>
      <c r="F3" s="6">
        <f>F2*Assumptions!$B$6</f>
        <v>63602</v>
      </c>
      <c r="G3" s="6">
        <f>G2*Assumptions!$B$6</f>
        <v>64876</v>
      </c>
      <c r="H3" s="6">
        <f>H2*Assumptions!$B$6</f>
        <v>66150</v>
      </c>
      <c r="I3" s="6">
        <f>I2*Assumptions!$B$6</f>
        <v>67473</v>
      </c>
      <c r="J3" s="6">
        <f>J2*Assumptions!$B$6</f>
        <v>68845</v>
      </c>
      <c r="K3" s="6">
        <f>K2*Assumptions!$B$6</f>
        <v>70217</v>
      </c>
      <c r="L3" s="6">
        <f>L2*Assumptions!$B$6</f>
        <v>71638</v>
      </c>
      <c r="M3" s="6">
        <f>M2*Assumptions!$B$6</f>
        <v>73059</v>
      </c>
      <c r="N3" s="6">
        <f>SUM(B3:M3)</f>
        <v>788165</v>
      </c>
    </row>
    <row r="4" spans="1:14" x14ac:dyDescent="0.25">
      <c r="A4" s="8" t="s">
        <v>28</v>
      </c>
      <c r="B4" s="6">
        <f>-B2*Assumptions!$B$10</f>
        <v>-10800</v>
      </c>
      <c r="C4" s="6">
        <f>-C2*Assumptions!$B$10</f>
        <v>-11016</v>
      </c>
      <c r="D4" s="6">
        <f>-D2*Assumptions!$B$10</f>
        <v>-11232</v>
      </c>
      <c r="E4" s="6">
        <f>-E2*Assumptions!$B$10</f>
        <v>-11457</v>
      </c>
      <c r="F4" s="6">
        <f>-F2*Assumptions!$B$10</f>
        <v>-11682</v>
      </c>
      <c r="G4" s="6">
        <f>-G2*Assumptions!$B$10</f>
        <v>-11916</v>
      </c>
      <c r="H4" s="6">
        <f>-H2*Assumptions!$B$10</f>
        <v>-12150</v>
      </c>
      <c r="I4" s="6">
        <f>-I2*Assumptions!$B$10</f>
        <v>-12393</v>
      </c>
      <c r="J4" s="6">
        <f>-J2*Assumptions!$B$10</f>
        <v>-12645</v>
      </c>
      <c r="K4" s="6">
        <f>-K2*Assumptions!$B$10</f>
        <v>-12897</v>
      </c>
      <c r="L4" s="6">
        <f>-L2*Assumptions!$B$10</f>
        <v>-13158</v>
      </c>
      <c r="M4" s="6">
        <f>-M2*Assumptions!$B$10</f>
        <v>-13419</v>
      </c>
      <c r="N4" s="6">
        <f>SUM(B4:M4)</f>
        <v>-144765</v>
      </c>
    </row>
    <row r="5" spans="1:14" x14ac:dyDescent="0.25">
      <c r="A5" s="8" t="s">
        <v>29</v>
      </c>
      <c r="B5" s="6">
        <f>-Assumptions!$B$8</f>
        <v>-12000</v>
      </c>
      <c r="C5" s="6">
        <f>-Assumptions!$B$8</f>
        <v>-12000</v>
      </c>
      <c r="D5" s="6">
        <f>-Assumptions!$B$8</f>
        <v>-12000</v>
      </c>
      <c r="E5" s="6">
        <f>-Assumptions!$B$8</f>
        <v>-12000</v>
      </c>
      <c r="F5" s="6">
        <f>-Assumptions!$B$8</f>
        <v>-12000</v>
      </c>
      <c r="G5" s="6">
        <f>-Assumptions!$B$8</f>
        <v>-12000</v>
      </c>
      <c r="H5" s="6">
        <f>-Assumptions!$B$8</f>
        <v>-12000</v>
      </c>
      <c r="I5" s="6">
        <f>-Assumptions!$B$8</f>
        <v>-12000</v>
      </c>
      <c r="J5" s="6">
        <f>-Assumptions!$B$8</f>
        <v>-12000</v>
      </c>
      <c r="K5" s="6">
        <f>-Assumptions!$B$8</f>
        <v>-12000</v>
      </c>
      <c r="L5" s="6">
        <f>-Assumptions!$B$8</f>
        <v>-12000</v>
      </c>
      <c r="M5" s="6">
        <f>-Assumptions!$B$8</f>
        <v>-12000</v>
      </c>
      <c r="N5" s="6">
        <f>SUM(B5:M5)</f>
        <v>-144000</v>
      </c>
    </row>
    <row r="6" spans="1:14" x14ac:dyDescent="0.25">
      <c r="A6" s="8" t="s">
        <v>30</v>
      </c>
      <c r="B6" s="6">
        <f>-Assumptions!$B$11</f>
        <v>-38000</v>
      </c>
      <c r="C6" s="6">
        <f>-Assumptions!$B$11</f>
        <v>-38000</v>
      </c>
      <c r="D6" s="6">
        <f>-Assumptions!$B$11</f>
        <v>-38000</v>
      </c>
      <c r="E6" s="6">
        <f>-Assumptions!$B$11</f>
        <v>-38000</v>
      </c>
      <c r="F6" s="6">
        <f>-Assumptions!$B$11</f>
        <v>-38000</v>
      </c>
      <c r="G6" s="6">
        <f>-Assumptions!$B$11</f>
        <v>-38000</v>
      </c>
      <c r="H6" s="6">
        <f>-Assumptions!$B$11</f>
        <v>-38000</v>
      </c>
      <c r="I6" s="6">
        <f>-Assumptions!$B$11</f>
        <v>-38000</v>
      </c>
      <c r="J6" s="6">
        <f>-Assumptions!$B$11</f>
        <v>-38000</v>
      </c>
      <c r="K6" s="6">
        <f>-Assumptions!$B$11</f>
        <v>-38000</v>
      </c>
      <c r="L6" s="6">
        <f>-Assumptions!$B$11</f>
        <v>-38000</v>
      </c>
      <c r="M6" s="6">
        <f>-Assumptions!$B$11</f>
        <v>-38000</v>
      </c>
      <c r="N6" s="6">
        <f>SUM(B6:M6)</f>
        <v>-456000</v>
      </c>
    </row>
    <row r="7" spans="1:14" x14ac:dyDescent="0.25">
      <c r="A7" s="3" t="s">
        <v>31</v>
      </c>
      <c r="B7" s="9">
        <f>SUM(B3:B6)</f>
        <v>-2000</v>
      </c>
      <c r="C7" s="9">
        <f>SUM(C3:C6)</f>
        <v>-1040</v>
      </c>
      <c r="D7" s="9">
        <f>SUM(D3:D6)</f>
        <v>-80</v>
      </c>
      <c r="E7" s="9">
        <f>SUM(E3:E6)</f>
        <v>920</v>
      </c>
      <c r="F7" s="9">
        <f>SUM(F3:F6)</f>
        <v>1920</v>
      </c>
      <c r="G7" s="9">
        <f>SUM(G3:G6)</f>
        <v>2960</v>
      </c>
      <c r="H7" s="9">
        <f>SUM(H3:H6)</f>
        <v>4000</v>
      </c>
      <c r="I7" s="9">
        <f>SUM(I3:I6)</f>
        <v>5080</v>
      </c>
      <c r="J7" s="9">
        <f>SUM(J3:J6)</f>
        <v>6200</v>
      </c>
      <c r="K7" s="9">
        <f>SUM(K3:K6)</f>
        <v>7320</v>
      </c>
      <c r="L7" s="9">
        <f>SUM(L3:L6)</f>
        <v>8480</v>
      </c>
      <c r="M7" s="9">
        <f>SUM(M3:M6)</f>
        <v>9640</v>
      </c>
      <c r="N7" s="9">
        <f>SUM(B7:M7)</f>
        <v>43400</v>
      </c>
    </row>
    <row r="8" spans="1:14" x14ac:dyDescent="0.25">
      <c r="A8" s="3" t="s">
        <v>32</v>
      </c>
      <c r="B8" s="9">
        <f>Assumptions!$B$12+B7</f>
        <v>148000</v>
      </c>
      <c r="C8" s="9">
        <f>B8+C7</f>
        <v>146960</v>
      </c>
      <c r="D8" s="9">
        <f>C8+D7</f>
        <v>146880</v>
      </c>
      <c r="E8" s="9">
        <f>D8+E7</f>
        <v>147800</v>
      </c>
      <c r="F8" s="9">
        <f>E8+F7</f>
        <v>149720</v>
      </c>
      <c r="G8" s="9">
        <f>F8+G7</f>
        <v>152680</v>
      </c>
      <c r="H8" s="9">
        <f>G8+H7</f>
        <v>156680</v>
      </c>
      <c r="I8" s="9">
        <f>H8+I7</f>
        <v>161760</v>
      </c>
      <c r="J8" s="9">
        <f>I8+J7</f>
        <v>167960</v>
      </c>
      <c r="K8" s="9">
        <f>J8+K7</f>
        <v>175280</v>
      </c>
      <c r="L8" s="9">
        <f>K8+L7</f>
        <v>183760</v>
      </c>
      <c r="M8" s="9">
        <f>L8+M7</f>
        <v>193400</v>
      </c>
      <c r="N8" s="9">
        <f>M8</f>
        <v>193400</v>
      </c>
    </row>
    <row r="11" spans="1:11" x14ac:dyDescent="0.25">
      <c r="A11" s="7" t="s">
        <v>33</v>
      </c>
      <c r="B11" s="7" t="s">
        <v>27</v>
      </c>
      <c r="C11" s="7" t="s">
        <v>34</v>
      </c>
      <c r="D11" s="7" t="s">
        <v>31</v>
      </c>
      <c r="E11" s="7" t="s">
        <v>35</v>
      </c>
      <c r="G11" s="7" t="s">
        <v>26</v>
      </c>
      <c r="H11" s="7" t="s">
        <v>27</v>
      </c>
      <c r="J11" s="7" t="s">
        <v>33</v>
      </c>
      <c r="K11" s="7" t="s">
        <v>35</v>
      </c>
    </row>
    <row r="12" spans="1:11" x14ac:dyDescent="0.25">
      <c r="A12" t="s">
        <v>13</v>
      </c>
      <c r="B12" s="6">
        <f>B3</f>
        <v>58800</v>
      </c>
      <c r="C12" s="6">
        <f>-(B4+B5+B6)</f>
        <v>60800</v>
      </c>
      <c r="D12" s="6">
        <f>B7</f>
        <v>-2000</v>
      </c>
      <c r="E12" s="6">
        <f>B8</f>
        <v>148000</v>
      </c>
      <c r="G12">
        <f>B2</f>
        <v>1200</v>
      </c>
      <c r="H12" s="6">
        <f>B3</f>
        <v>58800</v>
      </c>
      <c r="J12" t="str">
        <f>A12</f>
        <v>Jan</v>
      </c>
      <c r="K12" s="6">
        <f>E12</f>
        <v>148000</v>
      </c>
    </row>
    <row r="13" spans="1:11" x14ac:dyDescent="0.25">
      <c r="A13" t="s">
        <v>14</v>
      </c>
      <c r="B13" s="6">
        <f>C3</f>
        <v>59976</v>
      </c>
      <c r="C13" s="6">
        <f>-(C4+C5+C6)</f>
        <v>61016</v>
      </c>
      <c r="D13" s="6">
        <f>C7</f>
        <v>-1040</v>
      </c>
      <c r="E13" s="6">
        <f>C8</f>
        <v>146960</v>
      </c>
      <c r="G13">
        <f>C2</f>
        <v>1224</v>
      </c>
      <c r="H13" s="6">
        <f>C3</f>
        <v>59976</v>
      </c>
      <c r="J13" t="str">
        <f>A13</f>
        <v>Feb</v>
      </c>
      <c r="K13" s="6">
        <f>E13</f>
        <v>146960</v>
      </c>
    </row>
    <row r="14" spans="1:11" x14ac:dyDescent="0.25">
      <c r="A14" t="s">
        <v>15</v>
      </c>
      <c r="B14" s="6">
        <f>D3</f>
        <v>61152</v>
      </c>
      <c r="C14" s="6">
        <f>-(D4+D5+D6)</f>
        <v>61232</v>
      </c>
      <c r="D14" s="6">
        <f>D7</f>
        <v>-80</v>
      </c>
      <c r="E14" s="6">
        <f>D8</f>
        <v>146880</v>
      </c>
      <c r="G14">
        <f>D2</f>
        <v>1248</v>
      </c>
      <c r="H14" s="6">
        <f>D3</f>
        <v>61152</v>
      </c>
      <c r="J14" t="str">
        <f>A14</f>
        <v>Mar</v>
      </c>
      <c r="K14" s="6">
        <f>E14</f>
        <v>146880</v>
      </c>
    </row>
    <row r="15" spans="1:11" x14ac:dyDescent="0.25">
      <c r="A15" t="s">
        <v>16</v>
      </c>
      <c r="B15" s="6">
        <f>E3</f>
        <v>62377</v>
      </c>
      <c r="C15" s="6">
        <f>-(E4+E5+E6)</f>
        <v>61457</v>
      </c>
      <c r="D15" s="6">
        <f>E7</f>
        <v>920</v>
      </c>
      <c r="E15" s="6">
        <f>E8</f>
        <v>147800</v>
      </c>
      <c r="G15">
        <f>E2</f>
        <v>1273</v>
      </c>
      <c r="H15" s="6">
        <f>E3</f>
        <v>62377</v>
      </c>
      <c r="J15" t="str">
        <f>A15</f>
        <v>Apr</v>
      </c>
      <c r="K15" s="6">
        <f>E15</f>
        <v>147800</v>
      </c>
    </row>
    <row r="16" spans="1:11" x14ac:dyDescent="0.25">
      <c r="A16" t="s">
        <v>17</v>
      </c>
      <c r="B16" s="6">
        <f>F3</f>
        <v>63602</v>
      </c>
      <c r="C16" s="6">
        <f>-(F4+F5+F6)</f>
        <v>61682</v>
      </c>
      <c r="D16" s="6">
        <f>F7</f>
        <v>1920</v>
      </c>
      <c r="E16" s="6">
        <f>F8</f>
        <v>149720</v>
      </c>
      <c r="G16">
        <f>F2</f>
        <v>1298</v>
      </c>
      <c r="H16" s="6">
        <f>F3</f>
        <v>63602</v>
      </c>
      <c r="J16" t="str">
        <f>A16</f>
        <v>May</v>
      </c>
      <c r="K16" s="6">
        <f>E16</f>
        <v>149720</v>
      </c>
    </row>
    <row r="17" spans="1:11" x14ac:dyDescent="0.25">
      <c r="A17" t="s">
        <v>18</v>
      </c>
      <c r="B17" s="6">
        <f>G3</f>
        <v>64876</v>
      </c>
      <c r="C17" s="6">
        <f>-(G4+G5+G6)</f>
        <v>61916</v>
      </c>
      <c r="D17" s="6">
        <f>G7</f>
        <v>2960</v>
      </c>
      <c r="E17" s="6">
        <f>G8</f>
        <v>152680</v>
      </c>
      <c r="G17">
        <f>G2</f>
        <v>1324</v>
      </c>
      <c r="H17" s="6">
        <f>G3</f>
        <v>64876</v>
      </c>
      <c r="J17" t="str">
        <f>A17</f>
        <v>Jun</v>
      </c>
      <c r="K17" s="6">
        <f>E17</f>
        <v>152680</v>
      </c>
    </row>
    <row r="18" spans="1:11" x14ac:dyDescent="0.25">
      <c r="A18" t="s">
        <v>19</v>
      </c>
      <c r="B18" s="6">
        <f>H3</f>
        <v>66150</v>
      </c>
      <c r="C18" s="6">
        <f>-(H4+H5+H6)</f>
        <v>62150</v>
      </c>
      <c r="D18" s="6">
        <f>H7</f>
        <v>4000</v>
      </c>
      <c r="E18" s="6">
        <f>H8</f>
        <v>156680</v>
      </c>
      <c r="G18">
        <f>H2</f>
        <v>1350</v>
      </c>
      <c r="H18" s="6">
        <f>H3</f>
        <v>66150</v>
      </c>
      <c r="J18" t="str">
        <f>A18</f>
        <v>Jul</v>
      </c>
      <c r="K18" s="6">
        <f>E18</f>
        <v>156680</v>
      </c>
    </row>
    <row r="19" spans="1:11" x14ac:dyDescent="0.25">
      <c r="A19" t="s">
        <v>20</v>
      </c>
      <c r="B19" s="6">
        <f>I3</f>
        <v>67473</v>
      </c>
      <c r="C19" s="6">
        <f>-(I4+I5+I6)</f>
        <v>62393</v>
      </c>
      <c r="D19" s="6">
        <f>I7</f>
        <v>5080</v>
      </c>
      <c r="E19" s="6">
        <f>I8</f>
        <v>161760</v>
      </c>
      <c r="G19">
        <f>I2</f>
        <v>1377</v>
      </c>
      <c r="H19" s="6">
        <f>I3</f>
        <v>67473</v>
      </c>
      <c r="J19" t="str">
        <f>A19</f>
        <v>Aug</v>
      </c>
      <c r="K19" s="6">
        <f>E19</f>
        <v>161760</v>
      </c>
    </row>
    <row r="20" spans="1:11" x14ac:dyDescent="0.25">
      <c r="A20" t="s">
        <v>21</v>
      </c>
      <c r="B20" s="6">
        <f>J3</f>
        <v>68845</v>
      </c>
      <c r="C20" s="6">
        <f>-(J4+J5+J6)</f>
        <v>62645</v>
      </c>
      <c r="D20" s="6">
        <f>J7</f>
        <v>6200</v>
      </c>
      <c r="E20" s="6">
        <f>J8</f>
        <v>167960</v>
      </c>
      <c r="G20">
        <f>J2</f>
        <v>1405</v>
      </c>
      <c r="H20" s="6">
        <f>J3</f>
        <v>68845</v>
      </c>
      <c r="J20" t="str">
        <f>A20</f>
        <v>Sep</v>
      </c>
      <c r="K20" s="6">
        <f>E20</f>
        <v>167960</v>
      </c>
    </row>
    <row r="21" spans="1:11" x14ac:dyDescent="0.25">
      <c r="A21" t="s">
        <v>22</v>
      </c>
      <c r="B21" s="6">
        <f>K3</f>
        <v>70217</v>
      </c>
      <c r="C21" s="6">
        <f>-(K4+K5+K6)</f>
        <v>62897</v>
      </c>
      <c r="D21" s="6">
        <f>K7</f>
        <v>7320</v>
      </c>
      <c r="E21" s="6">
        <f>K8</f>
        <v>175280</v>
      </c>
      <c r="G21">
        <f>K2</f>
        <v>1433</v>
      </c>
      <c r="H21" s="6">
        <f>K3</f>
        <v>70217</v>
      </c>
      <c r="J21" t="str">
        <f>A21</f>
        <v>Oct</v>
      </c>
      <c r="K21" s="6">
        <f>E21</f>
        <v>175280</v>
      </c>
    </row>
    <row r="22" spans="1:11" x14ac:dyDescent="0.25">
      <c r="A22" t="s">
        <v>23</v>
      </c>
      <c r="B22" s="6">
        <f>L3</f>
        <v>71638</v>
      </c>
      <c r="C22" s="6">
        <f>-(L4+L5+L6)</f>
        <v>63158</v>
      </c>
      <c r="D22" s="6">
        <f>L7</f>
        <v>8480</v>
      </c>
      <c r="E22" s="6">
        <f>L8</f>
        <v>183760</v>
      </c>
      <c r="G22">
        <f>L2</f>
        <v>1462</v>
      </c>
      <c r="H22" s="6">
        <f>L3</f>
        <v>71638</v>
      </c>
      <c r="J22" t="str">
        <f>A22</f>
        <v>Nov</v>
      </c>
      <c r="K22" s="6">
        <f>E22</f>
        <v>183760</v>
      </c>
    </row>
    <row r="23" spans="1:11" x14ac:dyDescent="0.25">
      <c r="A23" t="s">
        <v>24</v>
      </c>
      <c r="B23" s="6">
        <f>M3</f>
        <v>73059</v>
      </c>
      <c r="C23" s="6">
        <f>-(M4+M5+M6)</f>
        <v>63419</v>
      </c>
      <c r="D23" s="6">
        <f>M7</f>
        <v>9640</v>
      </c>
      <c r="E23" s="6">
        <f>M8</f>
        <v>193400</v>
      </c>
      <c r="G23">
        <f>M2</f>
        <v>1491</v>
      </c>
      <c r="H23" s="6">
        <f>M3</f>
        <v>73059</v>
      </c>
      <c r="J23" t="str">
        <f>A23</f>
        <v>Dec</v>
      </c>
      <c r="K23" s="6">
        <f>E23</f>
        <v>193400</v>
      </c>
    </row>
  </sheetData>
  <conditionalFormatting sqref="B7:N8">
    <cfRule type="cellIs" dxfId="0" priority="1" operator="lessThan">
      <formula>0</formula>
    </cfRule>
  </conditionalFormatting>
  <conditionalFormatting sqref="B8:M8">
    <cfRule type="colorScale" priority="2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  <drawing r:id="rIdDrawing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8" outlineLevelRow="0" outlineLevelCol="0" x14ac:dyDescent="55" defaultColWidth="14.14" customHeight="1"/>
  <cols>
    <col min="1" max="1" width="13.57" customWidth="1"/>
    <col min="2" max="2" width="17.86" customWidth="1"/>
    <col min="3" max="4" width="12.14" customWidth="1"/>
    <col min="5" max="5" width="15" customWidth="1"/>
  </cols>
  <sheetData>
    <row r="1" spans="1:5" x14ac:dyDescent="0.25">
      <c r="A1" s="7" t="s">
        <v>2</v>
      </c>
      <c r="B1" s="7" t="s">
        <v>4</v>
      </c>
      <c r="C1" s="7" t="s">
        <v>36</v>
      </c>
      <c r="D1" s="7" t="s">
        <v>37</v>
      </c>
      <c r="E1" s="7" t="s">
        <v>29</v>
      </c>
    </row>
    <row r="2" spans="1:5" x14ac:dyDescent="0.25">
      <c r="A2" t="s">
        <v>3</v>
      </c>
      <c r="B2" s="5">
        <v>0.04</v>
      </c>
      <c r="C2" s="6">
        <v>49</v>
      </c>
      <c r="D2" s="5">
        <v>0.02</v>
      </c>
      <c r="E2" s="6">
        <v>12000</v>
      </c>
    </row>
    <row r="3" spans="1:5" x14ac:dyDescent="0.25">
      <c r="A3" t="s">
        <v>38</v>
      </c>
      <c r="B3" s="5">
        <v>0.07</v>
      </c>
      <c r="C3" s="6">
        <v>55</v>
      </c>
      <c r="D3" s="5">
        <v>0.015</v>
      </c>
      <c r="E3" s="6">
        <v>15000</v>
      </c>
    </row>
    <row r="4" spans="1:5" x14ac:dyDescent="0.25">
      <c r="A4" t="s">
        <v>39</v>
      </c>
      <c r="B4" s="5">
        <v>0.01</v>
      </c>
      <c r="C4" s="6">
        <v>45</v>
      </c>
      <c r="D4" s="5">
        <v>0.035</v>
      </c>
      <c r="E4" s="6">
        <v>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Model</vt:lpstr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AgentSwarms Sheets</dc:creator>
  <dc:title/>
  <dc:subject/>
  <dc:description/>
  <cp:keywords/>
  <cp:category/>
  <cp:lastModifiedBy>Unknown</cp:lastModifiedBy>
  <dcterms:created xsi:type="dcterms:W3CDTF">2026-09-28T18:28:47Z</dcterms:created>
  <dcterms:modified xsi:type="dcterms:W3CDTF">2026-09-28T18:28:47Z</dcterms:modified>
</cp:coreProperties>
</file>