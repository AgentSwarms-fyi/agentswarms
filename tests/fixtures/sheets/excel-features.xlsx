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<sst xmlns="http://schemas.openxmlformats.org/spreadsheetml/2006/main" count="21" uniqueCount="17">
  <si>
    <t>Order</t>
  </si>
  <si>
    <t>Customer</t>
  </si>
  <si>
    <t>Amount</t>
  </si>
  <si>
    <t>Placed</t>
  </si>
  <si>
    <t>A-1001</t>
  </si>
  <si>
    <t>Acme</t>
  </si>
  <si>
    <t>A-1002</t>
  </si>
  <si>
    <t>Globex</t>
  </si>
  <si>
    <t>A-1003</t>
  </si>
  <si>
    <t>A-1004</t>
  </si>
  <si>
    <t>Initech</t>
  </si>
  <si>
    <t>Total</t>
  </si>
  <si>
    <t>Lookup Globex</t>
  </si>
  <si>
    <t>Share of Acme</t>
  </si>
  <si>
    <t>From the cube</t>
  </si>
  <si>
    <t>From another file</t>
  </si>
  <si>
    <t>Wrapped in 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</si>
</sst>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[Red]-#,##0.00"/>
    <numFmt numFmtId="165" formatCode="dd-mmm-yyyy"/>
    <numFmt numFmtId="166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1200</v>
      </c>
      <c r="D2" s="3">
        <v>45296</v>
      </c>
    </row>
    <row r="3" spans="1:4" x14ac:dyDescent="0.25">
      <c r="A3" t="s">
        <v>6</v>
      </c>
      <c r="B3" t="s">
        <v>7</v>
      </c>
      <c r="C3" s="2">
        <v>-150</v>
      </c>
      <c r="D3" s="3">
        <v>45300</v>
      </c>
    </row>
    <row r="4" spans="1:4" x14ac:dyDescent="0.25">
      <c r="A4" t="s">
        <v>8</v>
      </c>
      <c r="B4" t="s">
        <v>5</v>
      </c>
      <c r="C4" s="2">
        <v>980</v>
      </c>
      <c r="D4" s="3">
        <v>45324</v>
      </c>
    </row>
    <row r="5" spans="1:4" x14ac:dyDescent="0.25">
      <c r="A5" t="s">
        <v>9</v>
      </c>
      <c r="B5" t="s">
        <v>10</v>
      </c>
      <c r="C5" s="2">
        <v>2200</v>
      </c>
      <c r="D5" s="3">
        <v>45342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s="4" t="s">
        <v>1</v>
      </c>
      <c r="B1" s="4" t="s">
        <v>11</v>
      </c>
    </row>
    <row r="2" spans="1:2" x14ac:dyDescent="0.25">
      <c r="A2" t="str">
        <f t="array" ref="A2:A4">_xlfn.UNIQUE(Orders!B2:B5)</f>
        <v>Acme</v>
      </c>
      <c r="B2">
        <f>SUMIFS(Orders!C:C,Orders!B:B,A2)</f>
        <v>2180</v>
      </c>
    </row>
    <row r="3" spans="1:2" x14ac:dyDescent="0.25">
      <c r="A3" t="s">
        <v>7</v>
      </c>
      <c r="B3">
        <f>SUMIFS(Orders!C:C,Orders!B:B,A3)</f>
        <v>-150</v>
      </c>
    </row>
    <row r="4" spans="1:2" x14ac:dyDescent="0.25">
      <c r="A4" t="s">
        <v>10</v>
      </c>
      <c r="B4">
        <f>SUMIFS(Orders!C:C,Orders!B:B,A4)</f>
        <v>2200</v>
      </c>
    </row>
    <row r="6" spans="1:2" x14ac:dyDescent="0.25">
      <c r="A6" t="s">
        <v>12</v>
      </c>
      <c r="B6">
        <f>_xlfn.XLOOKUP("Globex",Orders!B2:B5,Orders!C2:C5)</f>
        <v>-150</v>
      </c>
    </row>
    <row r="7" spans="1:2" x14ac:dyDescent="0.25">
      <c r="A7" t="s">
        <v>13</v>
      </c>
      <c r="B7" s="5">
        <f>B2/SUM(B2:B4)</f>
        <v>0.5153664302600472</v>
      </c>
    </row>
    <row r="8" spans="1:2" x14ac:dyDescent="0.25">
      <c r="A8" t="s">
        <v>14</v>
      </c>
      <c r="B8">
        <f>CUBEVALUE("Sales","[Measures].[Revenue]")</f>
        <v>98765</v>
      </c>
    </row>
    <row r="9" spans="1:2" x14ac:dyDescent="0.25">
      <c r="A9" t="s">
        <v>15</v>
      </c>
      <c r="B9">
        <f>[1]Budget!B2*1.1</f>
        <v>5500</v>
      </c>
    </row>
    <row r="10" spans="1:2" x14ac:dyDescent="0.25">
      <c r="A10" t="s">
        <v>16</v>
      </c>
      <c r="B10" t="str">
        <f>IFERROR(CUBEMEMBER("Sales","[Q1]"),"none")</f>
        <v>Q1 2024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2026-09-25T13:24:19Z</dcterms:created>
  <dcterms:modified xsi:type="dcterms:W3CDTF">2026-09-25T13:24:19Z</dcterms:modified>
</cp:coreProperties>
</file>